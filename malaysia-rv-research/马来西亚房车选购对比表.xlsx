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购对比" sheetId="1" state="visible" r:id="rId1"/>
    <sheet xmlns:r="http://schemas.openxmlformats.org/officeDocument/2006/relationships" name="用车成本测算" sheetId="2" state="visible" r:id="rId2"/>
    <sheet xmlns:r="http://schemas.openxmlformats.org/officeDocument/2006/relationships" name="二手实盘" sheetId="3" state="visible" r:id="rId3"/>
    <sheet xmlns:r="http://schemas.openxmlformats.org/officeDocument/2006/relationships" name="口径与来源" sheetId="4" state="visible" r:id="rId4"/>
  </sheets>
  <definedNames>
    <definedName name="_xlnm._FilterDatabase" localSheetId="0" hidden="1">'选购对比'!$A$1:$U$21</definedName>
    <definedName name="_xlnm._FilterDatabase" localSheetId="2" hidden="1">'二手实盘'!$A$1:$I$14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0"/>
    </font>
    <font>
      <sz val="10"/>
    </font>
    <font>
      <b val="1"/>
      <color rgb="FF4472C4"/>
      <sz val="13"/>
    </font>
    <font>
      <color rgb="FF767676"/>
      <sz val="9"/>
    </font>
    <font>
      <b val="1"/>
      <sz val="10"/>
    </font>
    <font>
      <color rgb="FF185FA5"/>
      <sz val="9"/>
      <u val="single"/>
    </font>
    <font>
      <b val="1"/>
      <color rgb="FF4472C4"/>
      <sz val="14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/>
    </xf>
    <xf numFmtId="3" fontId="2" fillId="4" borderId="1" applyAlignment="1" pivotButton="0" quotePrefix="0" xfId="0">
      <alignment horizontal="right" vertical="top"/>
    </xf>
    <xf numFmtId="0" fontId="2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left" vertical="top" wrapText="1"/>
    </xf>
    <xf numFmtId="3" fontId="1" fillId="5" borderId="1" applyAlignment="1" pivotButton="0" quotePrefix="0" xfId="0">
      <alignment horizontal="right" vertical="top"/>
    </xf>
    <xf numFmtId="0" fontId="3" fillId="0" borderId="0" pivotButton="0" quotePrefix="0" xfId="0"/>
    <xf numFmtId="0" fontId="2" fillId="0" borderId="1" pivotButton="0" quotePrefix="0" xfId="0"/>
    <xf numFmtId="3" fontId="2" fillId="3" borderId="1" applyAlignment="1" pivotButton="0" quotePrefix="0" xfId="0">
      <alignment horizontal="right"/>
    </xf>
    <xf numFmtId="0" fontId="4" fillId="0" borderId="1" applyAlignment="1" pivotButton="0" quotePrefix="0" xfId="0">
      <alignment vertical="top" wrapText="1"/>
    </xf>
    <xf numFmtId="2" fontId="2" fillId="3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2" fontId="2" fillId="4" borderId="1" applyAlignment="1" pivotButton="0" quotePrefix="0" xfId="0">
      <alignment horizontal="right"/>
    </xf>
    <xf numFmtId="0" fontId="5" fillId="0" borderId="1" pivotButton="0" quotePrefix="0" xfId="0"/>
    <xf numFmtId="4" fontId="1" fillId="5" borderId="1" applyAlignment="1" pivotButton="0" quotePrefix="0" xfId="0">
      <alignment horizontal="right"/>
    </xf>
    <xf numFmtId="0" fontId="4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6" fillId="0" borderId="1" pivotButton="0" quotePrefix="0" xfId="0"/>
    <xf numFmtId="0" fontId="7" fillId="0" borderId="0" pivotButton="0" quotePrefix="0" xfId="0"/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color rgb="FF9C6500"/>
        <sz val="10"/>
      </font>
      <fill>
        <patternFill patternType="solid">
          <fgColor rgb="FFFFEB9C"/>
        </patternFill>
      </fill>
    </dxf>
    <dxf>
      <font>
        <color rgb="FF9C0006"/>
        <sz val="10"/>
      </font>
      <fill>
        <patternFill patternType="solid">
          <fgColor rgb="FFFFC7CE"/>
        </patternFill>
      </fill>
    </dxf>
    <dxf>
      <font>
        <color rgb="FF006100"/>
        <sz val="10"/>
      </font>
      <fill>
        <patternFill patternType="solid">
          <fgColor rgb="FFC6EFCE"/>
        </patternFill>
      </fill>
    </dxf>
    <dxf>
      <font>
        <b val="1"/>
        <color rgb="FF006100"/>
        <sz val="1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各候选车型落地总价（RM）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'选购对比'!I1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'选购对比'!$B$2:$B$21</f>
            </numRef>
          </cat>
          <val>
            <numRef>
              <f>'选购对比'!$I$2:$I$21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车型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22</col>
      <colOff>0</colOff>
      <row>1</row>
      <rowOff>0</rowOff>
    </from>
    <ext cx="864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8" customWidth="1" min="3" max="3"/>
    <col width="24" customWidth="1" min="4" max="4"/>
    <col width="7" customWidth="1" min="5" max="5"/>
    <col width="17" customWidth="1" min="6" max="6"/>
    <col width="11" customWidth="1" min="7" max="7"/>
    <col width="12" customWidth="1" min="8" max="8"/>
    <col width="13" customWidth="1" min="9" max="9"/>
    <col width="9" customWidth="1" min="10" max="10"/>
    <col width="8" customWidth="1" min="11" max="11"/>
    <col width="12" customWidth="1" min="12" max="12"/>
    <col width="9" customWidth="1" min="13" max="13"/>
    <col width="15" customWidth="1" min="14" max="14"/>
    <col width="9" customWidth="1" min="15" max="15"/>
    <col width="11" customWidth="1" min="16" max="16"/>
    <col width="11" customWidth="1" min="17" max="17"/>
    <col width="13" customWidth="1" min="18" max="18"/>
    <col width="14" customWidth="1" min="19" max="19"/>
    <col width="11" customWidth="1" min="20" max="20"/>
    <col width="52" customWidth="1" min="21" max="21"/>
  </cols>
  <sheetData>
    <row r="1" ht="32" customHeight="1">
      <c r="A1" s="1" t="inlineStr">
        <is>
          <t>序号</t>
        </is>
      </c>
      <c r="B1" s="1" t="inlineStr">
        <is>
          <t>车型</t>
        </is>
      </c>
      <c r="C1" s="1" t="inlineStr">
        <is>
          <t>类型</t>
        </is>
      </c>
      <c r="D1" s="1" t="inlineStr">
        <is>
          <t>卖家/渠道</t>
        </is>
      </c>
      <c r="E1" s="1" t="inlineStr">
        <is>
          <t>年份</t>
        </is>
      </c>
      <c r="F1" s="1" t="inlineStr">
        <is>
          <t>底盘/平台</t>
        </is>
      </c>
      <c r="G1" s="1" t="inlineStr">
        <is>
          <t>报价(RM)</t>
        </is>
      </c>
      <c r="H1" s="1" t="inlineStr">
        <is>
          <t>额外费用(RM)</t>
        </is>
      </c>
      <c r="I1" s="1" t="inlineStr">
        <is>
          <t>落地总价(RM)</t>
        </is>
      </c>
      <c r="J1" s="1" t="inlineStr">
        <is>
          <t>厕所</t>
        </is>
      </c>
      <c r="K1" s="1" t="inlineStr">
        <is>
          <t>铺位数</t>
        </is>
      </c>
      <c r="L1" s="1" t="inlineStr">
        <is>
          <t>整备质量(kg)</t>
        </is>
      </c>
      <c r="M1" s="1" t="inlineStr">
        <is>
          <t>排量(cc)</t>
        </is>
      </c>
      <c r="N1" s="1" t="inlineStr">
        <is>
          <t>所需驾照</t>
        </is>
      </c>
      <c r="O1" s="1" t="inlineStr">
        <is>
          <t>车龄(年)</t>
        </is>
      </c>
      <c r="P1" s="1" t="inlineStr">
        <is>
          <t>年路税(RM)</t>
        </is>
      </c>
      <c r="Q1" s="1" t="inlineStr">
        <is>
          <t>年保险(RM)</t>
        </is>
      </c>
      <c r="R1" s="1" t="inlineStr">
        <is>
          <t>年持有成本(RM)</t>
        </is>
      </c>
      <c r="S1" s="1" t="inlineStr">
        <is>
          <t>5年总成本(RM)</t>
        </is>
      </c>
      <c r="T1" s="1" t="inlineStr">
        <is>
          <t>推荐度</t>
        </is>
      </c>
      <c r="U1" s="1" t="inlineStr">
        <is>
          <t>备注</t>
        </is>
      </c>
    </row>
    <row r="2">
      <c r="A2" s="2" t="n">
        <v>1</v>
      </c>
      <c r="B2" s="3" t="inlineStr">
        <is>
          <t>Hobby Beachy 420</t>
        </is>
      </c>
      <c r="C2" s="2" t="inlineStr">
        <is>
          <t>拖挂</t>
        </is>
      </c>
      <c r="D2" s="3" t="inlineStr">
        <is>
          <t>AsiaRV Malaysia（KL）</t>
        </is>
      </c>
      <c r="E2" s="2" t="n">
        <v>2022</v>
      </c>
      <c r="F2" s="3" t="inlineStr">
        <is>
          <t>Hobby 单轴</t>
        </is>
      </c>
      <c r="G2" s="4" t="n">
        <v>86500</v>
      </c>
      <c r="H2" s="4" t="n">
        <v>5000</v>
      </c>
      <c r="I2" s="5">
        <f>IF($G2="","",$G2+IF($H2="",0,$H2))</f>
        <v/>
      </c>
      <c r="J2" s="2" t="inlineStr">
        <is>
          <t>有</t>
        </is>
      </c>
      <c r="K2" s="2" t="n">
        <v>3</v>
      </c>
      <c r="L2" s="2" t="n">
        <v>808</v>
      </c>
      <c r="M2" s="2" t="n"/>
      <c r="N2" s="6">
        <f>IF($C2="","",IF($C2="拖挂","DT/DAT（未开放）",IF($L2&lt;=3500,"D/DA","E")))</f>
        <v/>
      </c>
      <c r="O2" s="6">
        <f>IF($E2="","",YEAR(TODAY())-$E2)</f>
        <v/>
      </c>
      <c r="P2" s="5">
        <f>IF($C2="拖挂",50,IF($M2="","",IF($M2&lt;=1000,20,IF($M2&lt;=1200,55,IF($M2&lt;=1400,70,IF($M2&lt;=1600,90,IF($M2&lt;=1800,200+0.4*($M2-1600),IF($M2&lt;=2000,280+0.5*($M2-1800),IF($M2&lt;=2500,440+0.8*($M2-2000),IF($M2&lt;=3000,840+1.6*($M2-2500),1640+1.6*($M2-3000)))))))))))</f>
        <v/>
      </c>
      <c r="Q2" s="4" t="n">
        <v>0</v>
      </c>
      <c r="R2" s="5">
        <f>IF($P2="","",$P2+IF($Q2="",0,$Q2))</f>
        <v/>
      </c>
      <c r="S2" s="5">
        <f>IF($R2="","",$I2+5*$R2)</f>
        <v/>
      </c>
      <c r="T2" s="2" t="inlineStr">
        <is>
          <t>推荐</t>
        </is>
      </c>
      <c r="U2" s="3" t="inlineStr">
        <is>
          <t>全场最便宜的带厕所方案；内置空调；808kg 好拖；但仅 1 个座位区，无燃气灶</t>
        </is>
      </c>
    </row>
    <row r="3">
      <c r="A3" s="2" t="n">
        <v>2</v>
      </c>
      <c r="B3" s="3" t="inlineStr">
        <is>
          <t>Hobby Ontour 390 SF</t>
        </is>
      </c>
      <c r="C3" s="2" t="inlineStr">
        <is>
          <t>拖挂</t>
        </is>
      </c>
      <c r="D3" s="3" t="inlineStr">
        <is>
          <t>AsiaRV Malaysia（KL）</t>
        </is>
      </c>
      <c r="E3" s="2" t="n">
        <v>2022</v>
      </c>
      <c r="F3" s="3" t="inlineStr">
        <is>
          <t>Hobby 单轴</t>
        </is>
      </c>
      <c r="G3" s="4" t="n">
        <v>120000</v>
      </c>
      <c r="H3" s="4" t="n">
        <v>5000</v>
      </c>
      <c r="I3" s="5">
        <f>IF($G3="","",$G3+IF($H3="",0,$H3))</f>
        <v/>
      </c>
      <c r="J3" s="2" t="inlineStr">
        <is>
          <t>有</t>
        </is>
      </c>
      <c r="K3" s="2" t="n">
        <v>4</v>
      </c>
      <c r="L3" s="2" t="n">
        <v>1063</v>
      </c>
      <c r="M3" s="2" t="n"/>
      <c r="N3" s="6">
        <f>IF($C3="","",IF($C3="拖挂","DT/DAT（未开放）",IF($L3&lt;=3500,"D/DA","E")))</f>
        <v/>
      </c>
      <c r="O3" s="6">
        <f>IF($E3="","",YEAR(TODAY())-$E3)</f>
        <v/>
      </c>
      <c r="P3" s="5">
        <f>IF($C3="拖挂",50,IF($M3="","",IF($M3&lt;=1000,20,IF($M3&lt;=1200,55,IF($M3&lt;=1400,70,IF($M3&lt;=1600,90,IF($M3&lt;=1800,200+0.4*($M3-1600),IF($M3&lt;=2000,280+0.5*($M3-1800),IF($M3&lt;=2500,440+0.8*($M3-2000),IF($M3&lt;=3000,840+1.6*($M3-2500),1640+1.6*($M3-3000)))))))))))</f>
        <v/>
      </c>
      <c r="Q3" s="4" t="n">
        <v>0</v>
      </c>
      <c r="R3" s="5">
        <f>IF($P3="","",$P3+IF($Q3="",0,$Q3))</f>
        <v/>
      </c>
      <c r="S3" s="5">
        <f>IF($R3="","",$I3+5*$R3)</f>
        <v/>
      </c>
      <c r="T3" s="2" t="inlineStr">
        <is>
          <t>强烈推荐</t>
        </is>
      </c>
      <c r="U3" s="3" t="inlineStr">
        <is>
          <t>4 铺位 + 车载厕所 + DOMETIC FreshJet 2200 空调 + Truma 燃气暖风 + 3 头燃气灶 + 98L 冰箱；2 人用最均衡</t>
        </is>
      </c>
    </row>
    <row r="4">
      <c r="A4" s="2" t="n">
        <v>3</v>
      </c>
      <c r="B4" s="3" t="inlineStr">
        <is>
          <t>Knaus Sport 500 QDK</t>
        </is>
      </c>
      <c r="C4" s="2" t="inlineStr">
        <is>
          <t>拖挂</t>
        </is>
      </c>
      <c r="D4" s="3" t="inlineStr">
        <is>
          <t>AsiaRV Malaysia（KL）</t>
        </is>
      </c>
      <c r="E4" s="2" t="n">
        <v>2022</v>
      </c>
      <c r="F4" s="3" t="inlineStr">
        <is>
          <t>Knaus 单轴</t>
        </is>
      </c>
      <c r="G4" s="4" t="n">
        <v>127200</v>
      </c>
      <c r="H4" s="4" t="n">
        <v>5000</v>
      </c>
      <c r="I4" s="5">
        <f>IF($G4="","",$G4+IF($H4="",0,$H4))</f>
        <v/>
      </c>
      <c r="J4" s="2" t="inlineStr">
        <is>
          <t>有</t>
        </is>
      </c>
      <c r="K4" s="2" t="n">
        <v>6</v>
      </c>
      <c r="L4" s="2" t="n">
        <v>1166</v>
      </c>
      <c r="M4" s="2" t="n"/>
      <c r="N4" s="6">
        <f>IF($C4="","",IF($C4="拖挂","DT/DAT（未开放）",IF($L4&lt;=3500,"D/DA","E")))</f>
        <v/>
      </c>
      <c r="O4" s="6">
        <f>IF($E4="","",YEAR(TODAY())-$E4)</f>
        <v/>
      </c>
      <c r="P4" s="5">
        <f>IF($C4="拖挂",50,IF($M4="","",IF($M4&lt;=1000,20,IF($M4&lt;=1200,55,IF($M4&lt;=1400,70,IF($M4&lt;=1600,90,IF($M4&lt;=1800,200+0.4*($M4-1600),IF($M4&lt;=2000,280+0.5*($M4-1800),IF($M4&lt;=2500,440+0.8*($M4-2000),IF($M4&lt;=3000,840+1.6*($M4-2500),1640+1.6*($M4-3000)))))))))))</f>
        <v/>
      </c>
      <c r="Q4" s="4" t="n">
        <v>0</v>
      </c>
      <c r="R4" s="5">
        <f>IF($P4="","",$P4+IF($Q4="",0,$Q4))</f>
        <v/>
      </c>
      <c r="S4" s="5">
        <f>IF($R4="","",$I4+5*$R4)</f>
        <v/>
      </c>
      <c r="T4" s="2" t="inlineStr">
        <is>
          <t>可考虑</t>
        </is>
      </c>
      <c r="U4" s="3" t="inlineStr">
        <is>
          <t>已自带注册与车牌；可增载至 1,400/1,800kg；142L 冰箱；但车长 7.32m，2 人用偏大</t>
        </is>
      </c>
    </row>
    <row r="5">
      <c r="A5" s="2" t="n">
        <v>4</v>
      </c>
      <c r="B5" s="3" t="inlineStr">
        <is>
          <t>Knaus Südwind 450 FU 60周年</t>
        </is>
      </c>
      <c r="C5" s="2" t="inlineStr">
        <is>
          <t>拖挂</t>
        </is>
      </c>
      <c r="D5" s="3" t="inlineStr">
        <is>
          <t>AsiaRV Malaysia（KL）</t>
        </is>
      </c>
      <c r="E5" s="2" t="n">
        <v>2022</v>
      </c>
      <c r="F5" s="3" t="inlineStr">
        <is>
          <t>Knaus 单轴</t>
        </is>
      </c>
      <c r="G5" s="4" t="n">
        <v>141300</v>
      </c>
      <c r="H5" s="4" t="n">
        <v>5000</v>
      </c>
      <c r="I5" s="5">
        <f>IF($G5="","",$G5+IF($H5="",0,$H5))</f>
        <v/>
      </c>
      <c r="J5" s="2" t="inlineStr">
        <is>
          <t>有</t>
        </is>
      </c>
      <c r="K5" s="2" t="n">
        <v>4</v>
      </c>
      <c r="L5" s="2" t="n">
        <v>1201</v>
      </c>
      <c r="M5" s="2" t="n"/>
      <c r="N5" s="6">
        <f>IF($C5="","",IF($C5="拖挂","DT/DAT（未开放）",IF($L5&lt;=3500,"D/DA","E")))</f>
        <v/>
      </c>
      <c r="O5" s="6">
        <f>IF($E5="","",YEAR(TODAY())-$E5)</f>
        <v/>
      </c>
      <c r="P5" s="5">
        <f>IF($C5="拖挂",50,IF($M5="","",IF($M5&lt;=1000,20,IF($M5&lt;=1200,55,IF($M5&lt;=1400,70,IF($M5&lt;=1600,90,IF($M5&lt;=1800,200+0.4*($M5-1600),IF($M5&lt;=2000,280+0.5*($M5-1800),IF($M5&lt;=2500,440+0.8*($M5-2000),IF($M5&lt;=3000,840+1.6*($M5-2500),1640+1.6*($M5-3000)))))))))))</f>
        <v/>
      </c>
      <c r="Q5" s="4" t="n">
        <v>0</v>
      </c>
      <c r="R5" s="5">
        <f>IF($P5="","",$P5+IF($Q5="",0,$Q5))</f>
        <v/>
      </c>
      <c r="S5" s="5">
        <f>IF($R5="","",$I5+5*$R5)</f>
        <v/>
      </c>
      <c r="T5" s="2" t="inlineStr">
        <is>
          <t>强烈推荐</t>
        </is>
      </c>
      <c r="U5" s="3" t="inlineStr">
        <is>
          <t>2 人最佳：前床 200x138 + 后床 198x127；Thetford 坐便 + 淋浴 + 洗手盆；燃气加热</t>
        </is>
      </c>
    </row>
    <row r="6">
      <c r="A6" s="2" t="n">
        <v>5</v>
      </c>
      <c r="B6" s="3" t="inlineStr">
        <is>
          <t>Knaus Südwind 450 FU</t>
        </is>
      </c>
      <c r="C6" s="2" t="inlineStr">
        <is>
          <t>拖挂</t>
        </is>
      </c>
      <c r="D6" s="3" t="inlineStr">
        <is>
          <t>AsiaRV Malaysia（KL）</t>
        </is>
      </c>
      <c r="E6" s="2" t="n">
        <v>2024</v>
      </c>
      <c r="F6" s="3" t="inlineStr">
        <is>
          <t>Knaus 单轴</t>
        </is>
      </c>
      <c r="G6" s="4" t="n">
        <v>215200</v>
      </c>
      <c r="H6" s="4" t="n">
        <v>5000</v>
      </c>
      <c r="I6" s="5">
        <f>IF($G6="","",$G6+IF($H6="",0,$H6))</f>
        <v/>
      </c>
      <c r="J6" s="2" t="inlineStr">
        <is>
          <t>有</t>
        </is>
      </c>
      <c r="K6" s="2" t="n">
        <v>4</v>
      </c>
      <c r="L6" s="2" t="n">
        <v>1193</v>
      </c>
      <c r="M6" s="2" t="n"/>
      <c r="N6" s="6">
        <f>IF($C6="","",IF($C6="拖挂","DT/DAT（未开放）",IF($L6&lt;=3500,"D/DA","E")))</f>
        <v/>
      </c>
      <c r="O6" s="6">
        <f>IF($E6="","",YEAR(TODAY())-$E6)</f>
        <v/>
      </c>
      <c r="P6" s="5">
        <f>IF($C6="拖挂",50,IF($M6="","",IF($M6&lt;=1000,20,IF($M6&lt;=1200,55,IF($M6&lt;=1400,70,IF($M6&lt;=1600,90,IF($M6&lt;=1800,200+0.4*($M6-1600),IF($M6&lt;=2000,280+0.5*($M6-1800),IF($M6&lt;=2500,440+0.8*($M6-2000),IF($M6&lt;=3000,840+1.6*($M6-2500),1640+1.6*($M6-3000)))))))))))</f>
        <v/>
      </c>
      <c r="Q6" s="4" t="n">
        <v>0</v>
      </c>
      <c r="R6" s="5">
        <f>IF($P6="","",$P6+IF($Q6="",0,$Q6))</f>
        <v/>
      </c>
      <c r="S6" s="5">
        <f>IF($R6="","",$I6+5*$R6)</f>
        <v/>
      </c>
      <c r="T6" s="2" t="inlineStr">
        <is>
          <t>推荐</t>
        </is>
      </c>
      <c r="U6" s="3" t="inlineStr">
        <is>
          <t>同上布局但 2024 新款；注意：Gas-free 设计，炉灶与空调全靠 230V；最大载重仅 73kg</t>
        </is>
      </c>
    </row>
    <row r="7">
      <c r="A7" s="2" t="n">
        <v>6</v>
      </c>
      <c r="B7" s="3" t="inlineStr">
        <is>
          <t>Knaus Südwind 500 EU</t>
        </is>
      </c>
      <c r="C7" s="2" t="inlineStr">
        <is>
          <t>拖挂</t>
        </is>
      </c>
      <c r="D7" s="3" t="inlineStr">
        <is>
          <t>AsiaRV Malaysia（KL）</t>
        </is>
      </c>
      <c r="E7" s="2" t="n">
        <v>2024</v>
      </c>
      <c r="F7" s="3" t="inlineStr">
        <is>
          <t>Knaus 单轴</t>
        </is>
      </c>
      <c r="G7" s="4" t="n">
        <v>224000</v>
      </c>
      <c r="H7" s="4" t="n">
        <v>5000</v>
      </c>
      <c r="I7" s="5">
        <f>IF($G7="","",$G7+IF($H7="",0,$H7))</f>
        <v/>
      </c>
      <c r="J7" s="2" t="inlineStr">
        <is>
          <t>有</t>
        </is>
      </c>
      <c r="K7" s="2" t="n">
        <v>4</v>
      </c>
      <c r="L7" s="2" t="n">
        <v>1311</v>
      </c>
      <c r="M7" s="2" t="n"/>
      <c r="N7" s="6">
        <f>IF($C7="","",IF($C7="拖挂","DT/DAT（未开放）",IF($L7&lt;=3500,"D/DA","E")))</f>
        <v/>
      </c>
      <c r="O7" s="6">
        <f>IF($E7="","",YEAR(TODAY())-$E7)</f>
        <v/>
      </c>
      <c r="P7" s="5">
        <f>IF($C7="拖挂",50,IF($M7="","",IF($M7&lt;=1000,20,IF($M7&lt;=1200,55,IF($M7&lt;=1400,70,IF($M7&lt;=1600,90,IF($M7&lt;=1800,200+0.4*($M7-1600),IF($M7&lt;=2000,280+0.5*($M7-1800),IF($M7&lt;=2500,440+0.8*($M7-2000),IF($M7&lt;=3000,840+1.6*($M7-2500),1640+1.6*($M7-3000)))))))))))</f>
        <v/>
      </c>
      <c r="Q7" s="4" t="n">
        <v>0</v>
      </c>
      <c r="R7" s="5">
        <f>IF($P7="","",$P7+IF($Q7="",0,$Q7))</f>
        <v/>
      </c>
      <c r="S7" s="5">
        <f>IF($R7="","",$I7+5*$R7)</f>
        <v/>
      </c>
      <c r="T7" s="2" t="inlineStr">
        <is>
          <t>推荐</t>
        </is>
      </c>
      <c r="U7" s="3" t="inlineStr">
        <is>
          <t>双单人床布局，适合不习惯拼床的两人</t>
        </is>
      </c>
    </row>
    <row r="8">
      <c r="A8" s="2" t="n">
        <v>7</v>
      </c>
      <c r="B8" s="3" t="inlineStr">
        <is>
          <t>Knaus Südwind 540 FDK</t>
        </is>
      </c>
      <c r="C8" s="2" t="inlineStr">
        <is>
          <t>拖挂</t>
        </is>
      </c>
      <c r="D8" s="3" t="inlineStr">
        <is>
          <t>AsiaRV Malaysia（KL）</t>
        </is>
      </c>
      <c r="E8" s="2" t="n">
        <v>2024</v>
      </c>
      <c r="F8" s="3" t="inlineStr">
        <is>
          <t>Knaus 单轴</t>
        </is>
      </c>
      <c r="G8" s="4" t="n">
        <v>230000</v>
      </c>
      <c r="H8" s="4" t="n">
        <v>5000</v>
      </c>
      <c r="I8" s="5">
        <f>IF($G8="","",$G8+IF($H8="",0,$H8))</f>
        <v/>
      </c>
      <c r="J8" s="2" t="inlineStr">
        <is>
          <t>有</t>
        </is>
      </c>
      <c r="K8" s="2" t="n">
        <v>6</v>
      </c>
      <c r="L8" s="2" t="n">
        <v>1341</v>
      </c>
      <c r="M8" s="2" t="n"/>
      <c r="N8" s="6">
        <f>IF($C8="","",IF($C8="拖挂","DT/DAT（未开放）",IF($L8&lt;=3500,"D/DA","E")))</f>
        <v/>
      </c>
      <c r="O8" s="6">
        <f>IF($E8="","",YEAR(TODAY())-$E8)</f>
        <v/>
      </c>
      <c r="P8" s="5">
        <f>IF($C8="拖挂",50,IF($M8="","",IF($M8&lt;=1000,20,IF($M8&lt;=1200,55,IF($M8&lt;=1400,70,IF($M8&lt;=1600,90,IF($M8&lt;=1800,200+0.4*($M8-1600),IF($M8&lt;=2000,280+0.5*($M8-1800),IF($M8&lt;=2500,440+0.8*($M8-2000),IF($M8&lt;=3000,840+1.6*($M8-2500),1640+1.6*($M8-3000)))))))))))</f>
        <v/>
      </c>
      <c r="Q8" s="4" t="n">
        <v>0</v>
      </c>
      <c r="R8" s="5">
        <f>IF($P8="","",$P8+IF($Q8="",0,$Q8))</f>
        <v/>
      </c>
      <c r="S8" s="5">
        <f>IF($R8="","",$I8+5*$R8)</f>
        <v/>
      </c>
      <c r="T8" s="2" t="inlineStr">
        <is>
          <t>可考虑</t>
        </is>
      </c>
      <c r="U8" s="3" t="inlineStr">
        <is>
          <t>带独立儿童区与上下铺；2 人用偏大</t>
        </is>
      </c>
    </row>
    <row r="9">
      <c r="A9" s="2" t="n">
        <v>8</v>
      </c>
      <c r="B9" s="3" t="inlineStr">
        <is>
          <t>Maxus V80 改装 campervan（2015）</t>
        </is>
      </c>
      <c r="C9" s="2" t="inlineStr">
        <is>
          <t>自行式</t>
        </is>
      </c>
      <c r="D9" s="3" t="inlineStr">
        <is>
          <t>二手（Kuala Lumpur）</t>
        </is>
      </c>
      <c r="E9" s="2" t="n">
        <v>2015</v>
      </c>
      <c r="F9" s="3" t="inlineStr">
        <is>
          <t>Maxus V80</t>
        </is>
      </c>
      <c r="G9" s="4" t="n">
        <v>78800</v>
      </c>
      <c r="H9" s="4" t="n">
        <v>0</v>
      </c>
      <c r="I9" s="5">
        <f>IF($G9="","",$G9+IF($H9="",0,$H9))</f>
        <v/>
      </c>
      <c r="J9" s="2" t="inlineStr">
        <is>
          <t>待确认</t>
        </is>
      </c>
      <c r="K9" s="2" t="n">
        <v>2</v>
      </c>
      <c r="L9" s="2" t="n">
        <v>2500</v>
      </c>
      <c r="M9" s="2" t="n">
        <v>2499</v>
      </c>
      <c r="N9" s="6">
        <f>IF($C9="","",IF($C9="拖挂","DT/DAT（未开放）",IF($L9&lt;=3500,"D/DA","E")))</f>
        <v/>
      </c>
      <c r="O9" s="6">
        <f>IF($E9="","",YEAR(TODAY())-$E9)</f>
        <v/>
      </c>
      <c r="P9" s="5">
        <f>IF($C9="拖挂",50,IF($M9="","",IF($M9&lt;=1000,20,IF($M9&lt;=1200,55,IF($M9&lt;=1400,70,IF($M9&lt;=1600,90,IF($M9&lt;=1800,200+0.4*($M9-1600),IF($M9&lt;=2000,280+0.5*($M9-1800),IF($M9&lt;=2500,440+0.8*($M9-2000),IF($M9&lt;=3000,840+1.6*($M9-2500),1640+1.6*($M9-3000)))))))))))</f>
        <v/>
      </c>
      <c r="Q9" s="4" t="n">
        <v>1200</v>
      </c>
      <c r="R9" s="5">
        <f>IF($P9="","",$P9+IF($Q9="",0,$Q9))</f>
        <v/>
      </c>
      <c r="S9" s="5">
        <f>IF($R9="","",$I9+5*$R9)</f>
        <v/>
      </c>
      <c r="T9" s="2" t="inlineStr">
        <is>
          <t>推荐</t>
        </is>
      </c>
      <c r="U9" s="3" t="inlineStr">
        <is>
          <t>最便宜的自行式带厕所候选；D 照可开；看车必须确认是盒式还是便携桶</t>
        </is>
      </c>
    </row>
    <row r="10">
      <c r="A10" s="2" t="n">
        <v>9</v>
      </c>
      <c r="B10" s="3" t="inlineStr">
        <is>
          <t>New Build Campervan Maxus V80（2017）</t>
        </is>
      </c>
      <c r="C10" s="2" t="inlineStr">
        <is>
          <t>自行式</t>
        </is>
      </c>
      <c r="D10" s="3" t="inlineStr">
        <is>
          <t>二手（Selangor）</t>
        </is>
      </c>
      <c r="E10" s="2" t="n">
        <v>2017</v>
      </c>
      <c r="F10" s="3" t="inlineStr">
        <is>
          <t>Maxus V80</t>
        </is>
      </c>
      <c r="G10" s="4" t="n">
        <v>198000</v>
      </c>
      <c r="H10" s="4" t="n">
        <v>0</v>
      </c>
      <c r="I10" s="5">
        <f>IF($G10="","",$G10+IF($H10="",0,$H10))</f>
        <v/>
      </c>
      <c r="J10" s="2" t="inlineStr">
        <is>
          <t>待确认</t>
        </is>
      </c>
      <c r="K10" s="2" t="n">
        <v>2</v>
      </c>
      <c r="L10" s="2" t="n">
        <v>2500</v>
      </c>
      <c r="M10" s="2" t="n">
        <v>1995</v>
      </c>
      <c r="N10" s="6">
        <f>IF($C10="","",IF($C10="拖挂","DT/DAT（未开放）",IF($L10&lt;=3500,"D/DA","E")))</f>
        <v/>
      </c>
      <c r="O10" s="6">
        <f>IF($E10="","",YEAR(TODAY())-$E10)</f>
        <v/>
      </c>
      <c r="P10" s="5">
        <f>IF($C10="拖挂",50,IF($M10="","",IF($M10&lt;=1000,20,IF($M10&lt;=1200,55,IF($M10&lt;=1400,70,IF($M10&lt;=1600,90,IF($M10&lt;=1800,200+0.4*($M10-1600),IF($M10&lt;=2000,280+0.5*($M10-1800),IF($M10&lt;=2500,440+0.8*($M10-2000),IF($M10&lt;=3000,840+1.6*($M10-2500),1640+1.6*($M10-3000)))))))))))</f>
        <v/>
      </c>
      <c r="Q10" s="4" t="n">
        <v>1500</v>
      </c>
      <c r="R10" s="5">
        <f>IF($P10="","",$P10+IF($Q10="",0,$Q10))</f>
        <v/>
      </c>
      <c r="S10" s="5">
        <f>IF($R10="","",$I10+5*$R10)</f>
        <v/>
      </c>
      <c r="T10" s="2" t="inlineStr">
        <is>
          <t>可考虑</t>
        </is>
      </c>
      <c r="U10" s="3" t="inlineStr">
        <is>
          <t>整车新改装；价格已接近日本进口 Camper Lorry，性价比需现场比</t>
        </is>
      </c>
    </row>
    <row r="11">
      <c r="A11" s="2" t="n">
        <v>10</v>
      </c>
      <c r="B11" s="3" t="inlineStr">
        <is>
          <t>2020 Maxus V80 Turbo Diesel Campervan</t>
        </is>
      </c>
      <c r="C11" s="2" t="inlineStr">
        <is>
          <t>自行式</t>
        </is>
      </c>
      <c r="D11" s="3" t="inlineStr">
        <is>
          <t>二手（Selangor）</t>
        </is>
      </c>
      <c r="E11" s="2" t="n">
        <v>2020</v>
      </c>
      <c r="F11" s="3" t="inlineStr">
        <is>
          <t>Maxus V80</t>
        </is>
      </c>
      <c r="G11" s="4" t="n">
        <v>168000</v>
      </c>
      <c r="H11" s="4" t="n">
        <v>0</v>
      </c>
      <c r="I11" s="5">
        <f>IF($G11="","",$G11+IF($H11="",0,$H11))</f>
        <v/>
      </c>
      <c r="J11" s="2" t="inlineStr">
        <is>
          <t>待确认</t>
        </is>
      </c>
      <c r="K11" s="2" t="n">
        <v>2</v>
      </c>
      <c r="L11" s="2" t="n">
        <v>2500</v>
      </c>
      <c r="M11" s="2" t="n">
        <v>2499</v>
      </c>
      <c r="N11" s="6">
        <f>IF($C11="","",IF($C11="拖挂","DT/DAT（未开放）",IF($L11&lt;=3500,"D/DA","E")))</f>
        <v/>
      </c>
      <c r="O11" s="6">
        <f>IF($E11="","",YEAR(TODAY())-$E11)</f>
        <v/>
      </c>
      <c r="P11" s="5">
        <f>IF($C11="拖挂",50,IF($M11="","",IF($M11&lt;=1000,20,IF($M11&lt;=1200,55,IF($M11&lt;=1400,70,IF($M11&lt;=1600,90,IF($M11&lt;=1800,200+0.4*($M11-1600),IF($M11&lt;=2000,280+0.5*($M11-1800),IF($M11&lt;=2500,440+0.8*($M11-2000),IF($M11&lt;=3000,840+1.6*($M11-2500),1640+1.6*($M11-3000)))))))))))</f>
        <v/>
      </c>
      <c r="Q11" s="4" t="n">
        <v>1500</v>
      </c>
      <c r="R11" s="5">
        <f>IF($P11="","",$P11+IF($Q11="",0,$Q11))</f>
        <v/>
      </c>
      <c r="S11" s="5">
        <f>IF($R11="","",$I11+5*$R11)</f>
        <v/>
      </c>
      <c r="T11" s="2" t="inlineStr">
        <is>
          <t>可考虑</t>
        </is>
      </c>
      <c r="U11" s="3" t="inlineStr">
        <is>
          <t>车龄新、里程低；适合不愿折腾的买家</t>
        </is>
      </c>
    </row>
    <row r="12">
      <c r="A12" s="2" t="n">
        <v>11</v>
      </c>
      <c r="B12" s="3" t="inlineStr">
        <is>
          <t>Toyota Camroad Motorhome</t>
        </is>
      </c>
      <c r="C12" s="2" t="inlineStr">
        <is>
          <t>自行式</t>
        </is>
      </c>
      <c r="D12" s="3" t="inlineStr">
        <is>
          <t>二手（Selangor / Sarawak）</t>
        </is>
      </c>
      <c r="E12" s="2" t="n">
        <v>2003</v>
      </c>
      <c r="F12" s="3" t="inlineStr">
        <is>
          <t>Toyota Dyna 货车</t>
        </is>
      </c>
      <c r="G12" s="4" t="n">
        <v>90000</v>
      </c>
      <c r="H12" s="4" t="n">
        <v>0</v>
      </c>
      <c r="I12" s="5">
        <f>IF($G12="","",$G12+IF($H12="",0,$H12))</f>
        <v/>
      </c>
      <c r="J12" s="2" t="inlineStr">
        <is>
          <t>有</t>
        </is>
      </c>
      <c r="K12" s="2" t="n">
        <v>3</v>
      </c>
      <c r="L12" s="2" t="n">
        <v>3200</v>
      </c>
      <c r="M12" s="2" t="n">
        <v>3000</v>
      </c>
      <c r="N12" s="6">
        <f>IF($C12="","",IF($C12="拖挂","DT/DAT（未开放）",IF($L12&lt;=3500,"D/DA","E")))</f>
        <v/>
      </c>
      <c r="O12" s="6">
        <f>IF($E12="","",YEAR(TODAY())-$E12)</f>
        <v/>
      </c>
      <c r="P12" s="5">
        <f>IF($C12="拖挂",50,IF($M12="","",IF($M12&lt;=1000,20,IF($M12&lt;=1200,55,IF($M12&lt;=1400,70,IF($M12&lt;=1600,90,IF($M12&lt;=1800,200+0.4*($M12-1600),IF($M12&lt;=2000,280+0.5*($M12-1800),IF($M12&lt;=2500,440+0.8*($M12-2000),IF($M12&lt;=3000,840+1.6*($M12-2500),1640+1.6*($M12-3000)))))))))))</f>
        <v/>
      </c>
      <c r="Q12" s="4" t="n">
        <v>1300</v>
      </c>
      <c r="R12" s="5">
        <f>IF($P12="","",$P12+IF($Q12="",0,$Q12))</f>
        <v/>
      </c>
      <c r="S12" s="5">
        <f>IF($R12="","",$I12+5*$R12)</f>
        <v/>
      </c>
      <c r="T12" s="2" t="inlineStr">
        <is>
          <t>强烈推荐</t>
        </is>
      </c>
      <c r="U12" s="3" t="inlineStr">
        <is>
          <t>货车底盘 → 进口时免消费税；空间大；3,200kg 仍在 D 照范围；马来西亚最主流的入门 motorhome</t>
        </is>
      </c>
    </row>
    <row r="13">
      <c r="A13" s="2" t="n">
        <v>12</v>
      </c>
      <c r="B13" s="3" t="inlineStr">
        <is>
          <t>CAM Caravan 4WD（2018）</t>
        </is>
      </c>
      <c r="C13" s="2" t="inlineStr">
        <is>
          <t>自行式</t>
        </is>
      </c>
      <c r="D13" s="3" t="inlineStr">
        <is>
          <t>Karysma / CAM（Shah Alam）</t>
        </is>
      </c>
      <c r="E13" s="2" t="n">
        <v>2018</v>
      </c>
      <c r="F13" s="3" t="inlineStr">
        <is>
          <t>Plutus 皮卡 4WD</t>
        </is>
      </c>
      <c r="G13" s="4" t="n">
        <v>175000</v>
      </c>
      <c r="H13" s="4" t="n">
        <v>0</v>
      </c>
      <c r="I13" s="5">
        <f>IF($G13="","",$G13+IF($H13="",0,$H13))</f>
        <v/>
      </c>
      <c r="J13" s="2" t="inlineStr">
        <is>
          <t>有</t>
        </is>
      </c>
      <c r="K13" s="2" t="n">
        <v>2</v>
      </c>
      <c r="L13" s="2" t="n">
        <v>2900</v>
      </c>
      <c r="M13" s="2" t="n">
        <v>2771</v>
      </c>
      <c r="N13" s="6">
        <f>IF($C13="","",IF($C13="拖挂","DT/DAT（未开放）",IF($L13&lt;=3500,"D/DA","E")))</f>
        <v/>
      </c>
      <c r="O13" s="6">
        <f>IF($E13="","",YEAR(TODAY())-$E13)</f>
        <v/>
      </c>
      <c r="P13" s="5">
        <f>IF($C13="拖挂",50,IF($M13="","",IF($M13&lt;=1000,20,IF($M13&lt;=1200,55,IF($M13&lt;=1400,70,IF($M13&lt;=1600,90,IF($M13&lt;=1800,200+0.4*($M13-1600),IF($M13&lt;=2000,280+0.5*($M13-1800),IF($M13&lt;=2500,440+0.8*($M13-2000),IF($M13&lt;=3000,840+1.6*($M13-2500),1640+1.6*($M13-3000)))))))))))</f>
        <v/>
      </c>
      <c r="Q13" s="4" t="n">
        <v>1600</v>
      </c>
      <c r="R13" s="5">
        <f>IF($P13="","",$P13+IF($Q13="",0,$Q13))</f>
        <v/>
      </c>
      <c r="S13" s="5">
        <f>IF($R13="","",$I13+5*$R13)</f>
        <v/>
      </c>
      <c r="T13" s="2" t="inlineStr">
        <is>
          <t>推荐</t>
        </is>
      </c>
      <c r="U13" s="3" t="inlineStr">
        <is>
          <t>完整卫浴 + 吊顶双人床 + 折叠沙发床 + 70L 水箱 + 40L 污水箱 + 空调 + 电磁炉 + Fiamma 遮阳篷；4WD 可进偏远地</t>
        </is>
      </c>
    </row>
    <row r="14">
      <c r="A14" s="2" t="n">
        <v>13</v>
      </c>
      <c r="B14" s="3" t="inlineStr">
        <is>
          <t>CAM Caravan 2WD（2014）</t>
        </is>
      </c>
      <c r="C14" s="2" t="inlineStr">
        <is>
          <t>自行式</t>
        </is>
      </c>
      <c r="D14" s="3" t="inlineStr">
        <is>
          <t>Karysma / CAM（Shah Alam）</t>
        </is>
      </c>
      <c r="E14" s="2" t="n">
        <v>2014</v>
      </c>
      <c r="F14" s="3" t="inlineStr">
        <is>
          <t>Plutus 皮卡 2WD</t>
        </is>
      </c>
      <c r="G14" s="4" t="n">
        <v>138000</v>
      </c>
      <c r="H14" s="4" t="n">
        <v>0</v>
      </c>
      <c r="I14" s="5">
        <f>IF($G14="","",$G14+IF($H14="",0,$H14))</f>
        <v/>
      </c>
      <c r="J14" s="2" t="inlineStr">
        <is>
          <t>有</t>
        </is>
      </c>
      <c r="K14" s="2" t="n">
        <v>2</v>
      </c>
      <c r="L14" s="2" t="n">
        <v>2800</v>
      </c>
      <c r="M14" s="2" t="n">
        <v>2771</v>
      </c>
      <c r="N14" s="6">
        <f>IF($C14="","",IF($C14="拖挂","DT/DAT（未开放）",IF($L14&lt;=3500,"D/DA","E")))</f>
        <v/>
      </c>
      <c r="O14" s="6">
        <f>IF($E14="","",YEAR(TODAY())-$E14)</f>
        <v/>
      </c>
      <c r="P14" s="5">
        <f>IF($C14="拖挂",50,IF($M14="","",IF($M14&lt;=1000,20,IF($M14&lt;=1200,55,IF($M14&lt;=1400,70,IF($M14&lt;=1600,90,IF($M14&lt;=1800,200+0.4*($M14-1600),IF($M14&lt;=2000,280+0.5*($M14-1800),IF($M14&lt;=2500,440+0.8*($M14-2000),IF($M14&lt;=3000,840+1.6*($M14-2500),1640+1.6*($M14-3000)))))))))))</f>
        <v/>
      </c>
      <c r="Q14" s="4" t="n">
        <v>1500</v>
      </c>
      <c r="R14" s="5">
        <f>IF($P14="","",$P14+IF($Q14="",0,$Q14))</f>
        <v/>
      </c>
      <c r="S14" s="5">
        <f>IF($R14="","",$I14+5*$R14)</f>
        <v/>
      </c>
      <c r="T14" s="2" t="inlineStr">
        <is>
          <t>可考虑</t>
        </is>
      </c>
      <c r="U14" s="3" t="inlineStr">
        <is>
          <t>同上但 2WD、车龄 12 年；已超 10 年，无法办银行贷款</t>
        </is>
      </c>
    </row>
    <row r="15">
      <c r="A15" s="2" t="n">
        <v>14</v>
      </c>
      <c r="B15" s="3" t="inlineStr">
        <is>
          <t>CAM Caravan 全新</t>
        </is>
      </c>
      <c r="C15" s="2" t="inlineStr">
        <is>
          <t>自行式</t>
        </is>
      </c>
      <c r="D15" s="3" t="inlineStr">
        <is>
          <t>CAM Malaysia</t>
        </is>
      </c>
      <c r="E15" s="2" t="n">
        <v>2026</v>
      </c>
      <c r="F15" s="3" t="inlineStr">
        <is>
          <t>Plutus 皮卡</t>
        </is>
      </c>
      <c r="G15" s="4" t="n">
        <v>207000</v>
      </c>
      <c r="H15" s="4" t="n">
        <v>0</v>
      </c>
      <c r="I15" s="5">
        <f>IF($G15="","",$G15+IF($H15="",0,$H15))</f>
        <v/>
      </c>
      <c r="J15" s="2" t="inlineStr">
        <is>
          <t>有</t>
        </is>
      </c>
      <c r="K15" s="2" t="n">
        <v>2</v>
      </c>
      <c r="L15" s="2" t="n">
        <v>2900</v>
      </c>
      <c r="M15" s="2" t="n">
        <v>2771</v>
      </c>
      <c r="N15" s="6">
        <f>IF($C15="","",IF($C15="拖挂","DT/DAT（未开放）",IF($L15&lt;=3500,"D/DA","E")))</f>
        <v/>
      </c>
      <c r="O15" s="6">
        <f>IF($E15="","",YEAR(TODAY())-$E15)</f>
        <v/>
      </c>
      <c r="P15" s="5">
        <f>IF($C15="拖挂",50,IF($M15="","",IF($M15&lt;=1000,20,IF($M15&lt;=1200,55,IF($M15&lt;=1400,70,IF($M15&lt;=1600,90,IF($M15&lt;=1800,200+0.4*($M15-1600),IF($M15&lt;=2000,280+0.5*($M15-1800),IF($M15&lt;=2500,440+0.8*($M15-2000),IF($M15&lt;=3000,840+1.6*($M15-2500),1640+1.6*($M15-3000)))))))))))</f>
        <v/>
      </c>
      <c r="Q15" s="4" t="n">
        <v>1800</v>
      </c>
      <c r="R15" s="5">
        <f>IF($P15="","",$P15+IF($Q15="",0,$Q15))</f>
        <v/>
      </c>
      <c r="S15" s="5">
        <f>IF($R15="","",$I15+5*$R15)</f>
        <v/>
      </c>
      <c r="T15" s="2" t="inlineStr">
        <is>
          <t>推荐</t>
        </is>
      </c>
      <c r="U15" s="3" t="inlineStr">
        <is>
          <t>唯一可确认能办银行贷款的自行式新车；落地即用，无进口手续</t>
        </is>
      </c>
    </row>
    <row r="16">
      <c r="A16" s="2" t="n">
        <v>15</v>
      </c>
      <c r="B16" s="3" t="inlineStr">
        <is>
          <t>Knaus Boxdrive 600 XL 4WD</t>
        </is>
      </c>
      <c r="C16" s="2" t="inlineStr">
        <is>
          <t>自行式</t>
        </is>
      </c>
      <c r="D16" s="3" t="inlineStr">
        <is>
          <t>AsiaRV Malaysia（KL）</t>
        </is>
      </c>
      <c r="E16" s="2" t="n">
        <v>2024</v>
      </c>
      <c r="F16" s="3" t="inlineStr">
        <is>
          <t>MAN TGE 4WD</t>
        </is>
      </c>
      <c r="G16" s="4" t="n">
        <v>620000</v>
      </c>
      <c r="H16" s="4" t="n">
        <v>5000</v>
      </c>
      <c r="I16" s="5">
        <f>IF($G16="","",$G16+IF($H16="",0,$H16))</f>
        <v/>
      </c>
      <c r="J16" s="2" t="inlineStr">
        <is>
          <t>有</t>
        </is>
      </c>
      <c r="K16" s="2" t="n">
        <v>4</v>
      </c>
      <c r="L16" s="2" t="n">
        <v>3160</v>
      </c>
      <c r="M16" s="2" t="n">
        <v>1968</v>
      </c>
      <c r="N16" s="6">
        <f>IF($C16="","",IF($C16="拖挂","DT/DAT（未开放）",IF($L16&lt;=3500,"D/DA","E")))</f>
        <v/>
      </c>
      <c r="O16" s="6">
        <f>IF($E16="","",YEAR(TODAY())-$E16)</f>
        <v/>
      </c>
      <c r="P16" s="5">
        <f>IF($C16="拖挂",50,IF($M16="","",IF($M16&lt;=1000,20,IF($M16&lt;=1200,55,IF($M16&lt;=1400,70,IF($M16&lt;=1600,90,IF($M16&lt;=1800,200+0.4*($M16-1600),IF($M16&lt;=2000,280+0.5*($M16-1800),IF($M16&lt;=2500,440+0.8*($M16-2000),IF($M16&lt;=3000,840+1.6*($M16-2500),1640+1.6*($M16-3000)))))))))))</f>
        <v/>
      </c>
      <c r="Q16" s="4" t="n">
        <v>4000</v>
      </c>
      <c r="R16" s="5">
        <f>IF($P16="","",$P16+IF($Q16="",0,$Q16))</f>
        <v/>
      </c>
      <c r="S16" s="5">
        <f>IF($R16="","",$I16+5*$R16)</f>
        <v/>
      </c>
      <c r="T16" s="2" t="inlineStr">
        <is>
          <t>可考虑</t>
        </is>
      </c>
      <c r="U16" s="3" t="inlineStr">
        <is>
          <t>2026-10-13 复核降价：RM 699,000 → RM 620,000（原价 RM 890,000）</t>
        </is>
      </c>
    </row>
    <row r="17">
      <c r="A17" s="2" t="n">
        <v>16</v>
      </c>
      <c r="B17" s="3" t="inlineStr">
        <is>
          <t>Toyota Campervan（Hiace 改装）</t>
        </is>
      </c>
      <c r="C17" s="2" t="inlineStr">
        <is>
          <t>自行式</t>
        </is>
      </c>
      <c r="D17" s="3" t="inlineStr">
        <is>
          <t>二手（Selangor）</t>
        </is>
      </c>
      <c r="E17" s="2" t="n">
        <v>2006</v>
      </c>
      <c r="F17" s="3" t="inlineStr">
        <is>
          <t>Toyota Hiace</t>
        </is>
      </c>
      <c r="G17" s="4" t="n">
        <v>75000</v>
      </c>
      <c r="H17" s="4" t="n">
        <v>0</v>
      </c>
      <c r="I17" s="5">
        <f>IF($G17="","",$G17+IF($H17="",0,$H17))</f>
        <v/>
      </c>
      <c r="J17" s="2" t="inlineStr">
        <is>
          <t>待确认</t>
        </is>
      </c>
      <c r="K17" s="2" t="n">
        <v>2</v>
      </c>
      <c r="L17" s="2" t="n">
        <v>2000</v>
      </c>
      <c r="M17" s="2" t="n">
        <v>1998</v>
      </c>
      <c r="N17" s="6">
        <f>IF($C17="","",IF($C17="拖挂","DT/DAT（未开放）",IF($L17&lt;=3500,"D/DA","E")))</f>
        <v/>
      </c>
      <c r="O17" s="6">
        <f>IF($E17="","",YEAR(TODAY())-$E17)</f>
        <v/>
      </c>
      <c r="P17" s="5">
        <f>IF($C17="拖挂",50,IF($M17="","",IF($M17&lt;=1000,20,IF($M17&lt;=1200,55,IF($M17&lt;=1400,70,IF($M17&lt;=1600,90,IF($M17&lt;=1800,200+0.4*($M17-1600),IF($M17&lt;=2000,280+0.5*($M17-1800),IF($M17&lt;=2500,440+0.8*($M17-2000),IF($M17&lt;=3000,840+1.6*($M17-2500),1640+1.6*($M17-3000)))))))))))</f>
        <v/>
      </c>
      <c r="Q17" s="4" t="n">
        <v>900</v>
      </c>
      <c r="R17" s="5">
        <f>IF($P17="","",$P17+IF($Q17="",0,$Q17))</f>
        <v/>
      </c>
      <c r="S17" s="5">
        <f>IF($R17="","",$I17+5*$R17)</f>
        <v/>
      </c>
      <c r="T17" s="2" t="inlineStr">
        <is>
          <t>可考虑</t>
        </is>
      </c>
      <c r="U17" s="3" t="inlineStr">
        <is>
          <t>Hiace 平台维修网络最好；但 2006 年车、车龄 20 年，需仔细验车</t>
        </is>
      </c>
    </row>
    <row r="18">
      <c r="A18" s="2" t="n">
        <v>17</v>
      </c>
      <c r="B18" s="3" t="inlineStr">
        <is>
          <t>Nissan Serena Pop-up Roof</t>
        </is>
      </c>
      <c r="C18" s="2" t="inlineStr">
        <is>
          <t>自行式</t>
        </is>
      </c>
      <c r="D18" s="3" t="inlineStr">
        <is>
          <t>二手（Kedah）</t>
        </is>
      </c>
      <c r="E18" s="2" t="n">
        <v>2001</v>
      </c>
      <c r="F18" s="3" t="inlineStr">
        <is>
          <t>Nissan Serena</t>
        </is>
      </c>
      <c r="G18" s="4" t="n">
        <v>48500</v>
      </c>
      <c r="H18" s="4" t="n">
        <v>0</v>
      </c>
      <c r="I18" s="5">
        <f>IF($G18="","",$G18+IF($H18="",0,$H18))</f>
        <v/>
      </c>
      <c r="J18" s="2" t="inlineStr">
        <is>
          <t>大概率无</t>
        </is>
      </c>
      <c r="K18" s="2" t="n">
        <v>2</v>
      </c>
      <c r="L18" s="2" t="n">
        <v>1700</v>
      </c>
      <c r="M18" s="2" t="n">
        <v>1998</v>
      </c>
      <c r="N18" s="6">
        <f>IF($C18="","",IF($C18="拖挂","DT/DAT（未开放）",IF($L18&lt;=3500,"D/DA","E")))</f>
        <v/>
      </c>
      <c r="O18" s="6">
        <f>IF($E18="","",YEAR(TODAY())-$E18)</f>
        <v/>
      </c>
      <c r="P18" s="5">
        <f>IF($C18="拖挂",50,IF($M18="","",IF($M18&lt;=1000,20,IF($M18&lt;=1200,55,IF($M18&lt;=1400,70,IF($M18&lt;=1600,90,IF($M18&lt;=1800,200+0.4*($M18-1600),IF($M18&lt;=2000,280+0.5*($M18-1800),IF($M18&lt;=2500,440+0.8*($M18-2000),IF($M18&lt;=3000,840+1.6*($M18-2500),1640+1.6*($M18-3000)))))))))))</f>
        <v/>
      </c>
      <c r="Q18" s="4" t="n">
        <v>800</v>
      </c>
      <c r="R18" s="5">
        <f>IF($P18="","",$P18+IF($Q18="",0,$Q18))</f>
        <v/>
      </c>
      <c r="S18" s="5">
        <f>IF($R18="","",$I18+5*$R18)</f>
        <v/>
      </c>
      <c r="T18" s="2" t="inlineStr">
        <is>
          <t>不推荐</t>
        </is>
      </c>
      <c r="U18" s="3" t="inlineStr">
        <is>
          <t>pop-top 车型几乎肯定没有独立厕所，不满足硬性条件；仅作价格参照</t>
        </is>
      </c>
    </row>
    <row r="19">
      <c r="A19" s="2" t="n">
        <v>18</v>
      </c>
      <c r="B19" s="3" t="inlineStr">
        <is>
          <t>1999 Toyota Camroad Campervan 2.8</t>
        </is>
      </c>
      <c r="C19" s="2" t="inlineStr">
        <is>
          <t>自行式</t>
        </is>
      </c>
      <c r="D19" s="3" t="inlineStr">
        <is>
          <t>二手（Selangor）</t>
        </is>
      </c>
      <c r="E19" s="2" t="n">
        <v>1999</v>
      </c>
      <c r="F19" s="3" t="inlineStr">
        <is>
          <t>Toyota Dyna</t>
        </is>
      </c>
      <c r="G19" s="4" t="n">
        <v>68888</v>
      </c>
      <c r="H19" s="4" t="n">
        <v>0</v>
      </c>
      <c r="I19" s="5">
        <f>IF($G19="","",$G19+IF($H19="",0,$H19))</f>
        <v/>
      </c>
      <c r="J19" s="2" t="inlineStr">
        <is>
          <t>有</t>
        </is>
      </c>
      <c r="K19" s="2" t="n">
        <v>3</v>
      </c>
      <c r="L19" s="2" t="n">
        <v>3200</v>
      </c>
      <c r="M19" s="2" t="n">
        <v>2980</v>
      </c>
      <c r="N19" s="6">
        <f>IF($C19="","",IF($C19="拖挂","DT/DAT（未开放）",IF($L19&lt;=3500,"D/DA","E")))</f>
        <v/>
      </c>
      <c r="O19" s="6">
        <f>IF($E19="","",YEAR(TODAY())-$E19)</f>
        <v/>
      </c>
      <c r="P19" s="5">
        <f>IF($C19="拖挂",50,IF($M19="","",IF($M19&lt;=1000,20,IF($M19&lt;=1200,55,IF($M19&lt;=1400,70,IF($M19&lt;=1600,90,IF($M19&lt;=1800,200+0.4*($M19-1600),IF($M19&lt;=2000,280+0.5*($M19-1800),IF($M19&lt;=2500,440+0.8*($M19-2000),IF($M19&lt;=3000,840+1.6*($M19-2500),1640+1.6*($M19-3000)))))))))))</f>
        <v/>
      </c>
      <c r="Q19" s="4" t="n">
        <v>1000</v>
      </c>
      <c r="R19" s="5">
        <f>IF($P19="","",$P19+IF($Q19="",0,$Q19))</f>
        <v/>
      </c>
      <c r="S19" s="5">
        <f>IF($R19="","",$I19+5*$R19)</f>
        <v/>
      </c>
      <c r="T19" s="2" t="inlineStr">
        <is>
          <t>推荐</t>
        </is>
      </c>
      <c r="U19" s="3" t="inlineStr">
        <is>
          <t>最便宜的日系原厂 motorhome 样本；车龄 27 年，只能私人注册（不能商用出租）</t>
        </is>
      </c>
    </row>
    <row r="20">
      <c r="A20" s="2" t="n">
        <v>19</v>
      </c>
      <c r="B20" s="3" t="inlineStr">
        <is>
          <t>1995 VW Kombi Westfalia</t>
        </is>
      </c>
      <c r="C20" s="2" t="inlineStr">
        <is>
          <t>自行式</t>
        </is>
      </c>
      <c r="D20" s="3" t="inlineStr">
        <is>
          <t>二手（Kedah）</t>
        </is>
      </c>
      <c r="E20" s="2" t="n">
        <v>1995</v>
      </c>
      <c r="F20" s="3" t="inlineStr">
        <is>
          <t>VW Kombi</t>
        </is>
      </c>
      <c r="G20" s="4" t="n">
        <v>125000</v>
      </c>
      <c r="H20" s="4" t="n">
        <v>0</v>
      </c>
      <c r="I20" s="5">
        <f>IF($G20="","",$G20+IF($H20="",0,$H20))</f>
        <v/>
      </c>
      <c r="J20" s="2" t="inlineStr">
        <is>
          <t>有</t>
        </is>
      </c>
      <c r="K20" s="2" t="n">
        <v>2</v>
      </c>
      <c r="L20" s="2" t="n">
        <v>1800</v>
      </c>
      <c r="M20" s="2" t="n">
        <v>1600</v>
      </c>
      <c r="N20" s="6">
        <f>IF($C20="","",IF($C20="拖挂","DT/DAT（未开放）",IF($L20&lt;=3500,"D/DA","E")))</f>
        <v/>
      </c>
      <c r="O20" s="6">
        <f>IF($E20="","",YEAR(TODAY())-$E20)</f>
        <v/>
      </c>
      <c r="P20" s="5">
        <f>IF($C20="拖挂",50,IF($M20="","",IF($M20&lt;=1000,20,IF($M20&lt;=1200,55,IF($M20&lt;=1400,70,IF($M20&lt;=1600,90,IF($M20&lt;=1800,200+0.4*($M20-1600),IF($M20&lt;=2000,280+0.5*($M20-1800),IF($M20&lt;=2500,440+0.8*($M20-2000),IF($M20&lt;=3000,840+1.6*($M20-2500),1640+1.6*($M20-3000)))))))))))</f>
        <v/>
      </c>
      <c r="Q20" s="4" t="n">
        <v>1200</v>
      </c>
      <c r="R20" s="5">
        <f>IF($P20="","",$P20+IF($Q20="",0,$Q20))</f>
        <v/>
      </c>
      <c r="S20" s="5">
        <f>IF($R20="","",$I20+5*$R20)</f>
        <v/>
      </c>
      <c r="T20" s="2" t="inlineStr">
        <is>
          <t>不推荐</t>
        </is>
      </c>
      <c r="U20" s="3" t="inlineStr">
        <is>
          <t>车龄 31 年，维修零件是长期负担；价格与实用性不匹配</t>
        </is>
      </c>
    </row>
    <row r="21">
      <c r="A21" s="2" t="n">
        <v>20</v>
      </c>
      <c r="B21" s="3" t="inlineStr">
        <is>
          <t>MRC Motorhome cab-over</t>
        </is>
      </c>
      <c r="C21" s="2" t="inlineStr">
        <is>
          <t>自行式</t>
        </is>
      </c>
      <c r="D21" s="3" t="inlineStr">
        <is>
          <t>MRC Motorhome（Klang）</t>
        </is>
      </c>
      <c r="E21" s="2" t="n">
        <v>2026</v>
      </c>
      <c r="F21" s="3" t="inlineStr">
        <is>
          <t>货车底盘</t>
        </is>
      </c>
      <c r="G21" s="4" t="n">
        <v>360000</v>
      </c>
      <c r="H21" s="4" t="n">
        <v>0</v>
      </c>
      <c r="I21" s="5">
        <f>IF($G21="","",$G21+IF($H21="",0,$H21))</f>
        <v/>
      </c>
      <c r="J21" s="2" t="inlineStr">
        <is>
          <t>有</t>
        </is>
      </c>
      <c r="K21" s="2" t="n">
        <v>4</v>
      </c>
      <c r="L21" s="2" t="n">
        <v>4000</v>
      </c>
      <c r="M21" s="2" t="n">
        <v>3000</v>
      </c>
      <c r="N21" s="6">
        <f>IF($C21="","",IF($C21="拖挂","DT/DAT（未开放）",IF($L21&lt;=3500,"D/DA","E")))</f>
        <v/>
      </c>
      <c r="O21" s="6">
        <f>IF($E21="","",YEAR(TODAY())-$E21)</f>
        <v/>
      </c>
      <c r="P21" s="5">
        <f>IF($C21="拖挂",50,IF($M21="","",IF($M21&lt;=1000,20,IF($M21&lt;=1200,55,IF($M21&lt;=1400,70,IF($M21&lt;=1600,90,IF($M21&lt;=1800,200+0.4*($M21-1600),IF($M21&lt;=2000,280+0.5*($M21-1800),IF($M21&lt;=2500,440+0.8*($M21-2000),IF($M21&lt;=3000,840+1.6*($M21-2500),1640+1.6*($M21-3000)))))))))))</f>
        <v/>
      </c>
      <c r="Q21" s="4" t="n">
        <v>2500</v>
      </c>
      <c r="R21" s="5">
        <f>IF($P21="","",$P21+IF($Q21="",0,$Q21))</f>
        <v/>
      </c>
      <c r="S21" s="5">
        <f>IF($R21="","",$I21+5*$R21)</f>
        <v/>
      </c>
      <c r="T21" s="2" t="inlineStr">
        <is>
          <t>可考虑</t>
        </is>
      </c>
      <c r="U21" s="3" t="inlineStr">
        <is>
          <t>4,000kg 超过 3,500kg → 需 E 级驾照，这是主要门槛</t>
        </is>
      </c>
    </row>
    <row r="22">
      <c r="A22" t="n">
        <v>21</v>
      </c>
      <c r="B22" t="inlineStr">
        <is>
          <t>SunshineRV Rafflesia X Series（Maxus Twin Cab）</t>
        </is>
      </c>
      <c r="C22" t="inlineStr">
        <is>
          <t>自行式</t>
        </is>
      </c>
      <c r="D22" t="inlineStr">
        <is>
          <t>Sunshine RV（槟城，制造牌照 A025085）</t>
        </is>
      </c>
      <c r="E22" t="n">
        <v>2026</v>
      </c>
      <c r="F22" t="inlineStr">
        <is>
          <t>Maxus 2.8L TD 4WD</t>
        </is>
      </c>
      <c r="H22" t="n">
        <v>0</v>
      </c>
      <c r="I22">
        <f>IF($G22="","",$G22+IF($H22="",0,$H22))</f>
        <v/>
      </c>
      <c r="J22" t="inlineStr">
        <is>
          <t>有</t>
        </is>
      </c>
      <c r="K22" t="inlineStr">
        <is>
          <t>2–3</t>
        </is>
      </c>
      <c r="L22" t="n">
        <v>3400</v>
      </c>
      <c r="M22" t="n">
        <v>2771</v>
      </c>
      <c r="N22">
        <f>IF($C22="","",IF($C22="拖挂","DT/DAT（未开放）",IF($L22&lt;=3500,"D/DA","E")))</f>
        <v/>
      </c>
      <c r="O22">
        <f>IF($E22="","",YEAR(TODAY())-$E22)</f>
        <v/>
      </c>
      <c r="P22">
        <f>IF($C22="拖挂",50,IF($M22="","",IF($M22&lt;=1000,20,IF($M22&lt;=1200,55,IF($M22&lt;=1400,70,IF($M22&lt;=1600,90,IF($M22&lt;=1800,200+0.4*($M22-1600),IF($M22&lt;=2000,280+0.5*($M22-1800),IF($M22&lt;=2500,440+0.8*($M22-2000),IF($M22&lt;=3000,840+1.6*($M22-2500),1640+1.6*($M22-3000)))))))))))</f>
        <v/>
      </c>
      <c r="Q22" t="n">
        <v>1300</v>
      </c>
      <c r="R22">
        <f>IF($P22="","",$P22+IF($Q22="",0,$Q22))</f>
        <v/>
      </c>
      <c r="S22">
        <f>IF($R22="","",$I22+5*$R22)</f>
        <v/>
      </c>
      <c r="T22" t="inlineStr">
        <is>
          <t>力荐（D照）</t>
        </is>
      </c>
      <c r="U22" t="inlineStr">
        <is>
          <t>官网未公开价需询价；Shower+Cassette Toilet；Sleeps 1 Queen+1 Double；86L/43L 水箱；锂电100Ah；发电机标配；GVM 3400 → D 照可开</t>
        </is>
      </c>
    </row>
    <row r="23">
      <c r="A23" t="n">
        <v>22</v>
      </c>
      <c r="B23" t="inlineStr">
        <is>
          <t>SunshineRV Rafflesia F Series</t>
        </is>
      </c>
      <c r="C23" t="inlineStr">
        <is>
          <t>自行式</t>
        </is>
      </c>
      <c r="D23" t="inlineStr">
        <is>
          <t>Sunshine RV（槟城，制造牌照 A025085）</t>
        </is>
      </c>
      <c r="E23" t="n">
        <v>2026</v>
      </c>
      <c r="F23" t="inlineStr">
        <is>
          <t>Toyota 2.4L TD 4WD</t>
        </is>
      </c>
      <c r="H23" t="n">
        <v>0</v>
      </c>
      <c r="I23">
        <f>IF($G23="","",$G23+IF($H23="",0,$H23))</f>
        <v/>
      </c>
      <c r="J23" t="inlineStr">
        <is>
          <t>有</t>
        </is>
      </c>
      <c r="K23" t="inlineStr">
        <is>
          <t>2–3</t>
        </is>
      </c>
      <c r="L23" t="n">
        <v>2870</v>
      </c>
      <c r="M23" t="n">
        <v>2393</v>
      </c>
      <c r="N23">
        <f>IF($C23="","",IF($C23="拖挂","DT/DAT（未开放）",IF($L23&lt;=3500,"D/DA","E")))</f>
        <v/>
      </c>
      <c r="O23">
        <f>IF($E23="","",YEAR(TODAY())-$E23)</f>
        <v/>
      </c>
      <c r="P23">
        <f>IF($C23="拖挂",50,IF($M23="","",IF($M23&lt;=1000,20,IF($M23&lt;=1200,55,IF($M23&lt;=1400,70,IF($M23&lt;=1600,90,IF($M23&lt;=1800,200+0.4*($M23-1600),IF($M23&lt;=2000,280+0.5*($M23-1800),IF($M23&lt;=2500,440+0.8*($M23-2000),IF($M23&lt;=3000,840+1.6*($M23-2500),1640+1.6*($M23-3000)))))))))))</f>
        <v/>
      </c>
      <c r="Q23" t="n">
        <v>1300</v>
      </c>
      <c r="R23">
        <f>IF($P23="","",$P23+IF($Q23="",0,$Q23))</f>
        <v/>
      </c>
      <c r="S23">
        <f>IF($R23="","",$I23+5*$R23)</f>
        <v/>
      </c>
      <c r="T23" t="inlineStr">
        <is>
          <t>力荐（D照）</t>
        </is>
      </c>
      <c r="U23" t="inlineStr">
        <is>
          <t>询价；Shower+Cassette Toilet；1 Queen+1 Double；90L 12V 冰箱；Honda EV22i 发电机；GVM 2870 → D 照可开</t>
        </is>
      </c>
    </row>
    <row r="24">
      <c r="A24" t="n">
        <v>23</v>
      </c>
      <c r="B24" t="inlineStr">
        <is>
          <t>SunshineRV Rafflesia N Series</t>
        </is>
      </c>
      <c r="C24" t="inlineStr">
        <is>
          <t>自行式</t>
        </is>
      </c>
      <c r="D24" t="inlineStr">
        <is>
          <t>Sunshine RV（槟城，制造牌照 A025085）</t>
        </is>
      </c>
      <c r="E24" t="n">
        <v>2026</v>
      </c>
      <c r="F24" t="inlineStr">
        <is>
          <t>Nissan 1.789L 2WD</t>
        </is>
      </c>
      <c r="H24" t="n">
        <v>0</v>
      </c>
      <c r="I24">
        <f>IF($G24="","",$G24+IF($H24="",0,$H24))</f>
        <v/>
      </c>
      <c r="J24" t="inlineStr">
        <is>
          <t>有</t>
        </is>
      </c>
      <c r="K24" t="inlineStr">
        <is>
          <t>2–3</t>
        </is>
      </c>
      <c r="L24" t="n">
        <v>3800</v>
      </c>
      <c r="M24" t="n">
        <v>1789</v>
      </c>
      <c r="N24">
        <f>IF($C24="","",IF($C24="拖挂","DT/DAT（未开放）",IF($L24&lt;=3500,"D/DA","E")))</f>
        <v/>
      </c>
      <c r="O24">
        <f>IF($E24="","",YEAR(TODAY())-$E24)</f>
        <v/>
      </c>
      <c r="P24">
        <f>IF($C24="拖挂",50,IF($M24="","",IF($M24&lt;=1000,20,IF($M24&lt;=1200,55,IF($M24&lt;=1400,70,IF($M24&lt;=1600,90,IF($M24&lt;=1800,200+0.4*($M24-1600),IF($M24&lt;=2000,280+0.5*($M24-1800),IF($M24&lt;=2500,440+0.8*($M24-2000),IF($M24&lt;=3000,840+1.6*($M24-2500),1640+1.6*($M24-3000)))))))))))</f>
        <v/>
      </c>
      <c r="Q24" t="n">
        <v>1300</v>
      </c>
      <c r="R24">
        <f>IF($P24="","",$P24+IF($Q24="",0,$Q24))</f>
        <v/>
      </c>
      <c r="S24">
        <f>IF($R24="","",$I24+5*$R24)</f>
        <v/>
      </c>
      <c r="T24" t="inlineStr">
        <is>
          <t>待核驾照</t>
        </is>
      </c>
      <c r="U24" t="inlineStr">
        <is>
          <t>询价；Shower+Cassette Toilet；1 Queen+1 Double；100L 冰箱；GVM 3800 &gt; 3500 → 可能需 E 照，须现场核对 BTM/BDM；无发电机</t>
        </is>
      </c>
    </row>
    <row r="25">
      <c r="A25" t="n">
        <v>24</v>
      </c>
      <c r="B25" t="inlineStr">
        <is>
          <t>SunshineRV Rafflesia C Series</t>
        </is>
      </c>
      <c r="C25" t="inlineStr">
        <is>
          <t>自行式</t>
        </is>
      </c>
      <c r="D25" t="inlineStr">
        <is>
          <t>Sunshine RV（槟城，制造牌照 A025085）</t>
        </is>
      </c>
      <c r="E25" t="n">
        <v>2026</v>
      </c>
      <c r="F25" t="inlineStr">
        <is>
          <t>Toyota 2.4L TD 4WD</t>
        </is>
      </c>
      <c r="H25" t="n">
        <v>0</v>
      </c>
      <c r="I25">
        <f>IF($G25="","",$G25+IF($H25="",0,$H25))</f>
        <v/>
      </c>
      <c r="J25" t="inlineStr">
        <is>
          <t>有</t>
        </is>
      </c>
      <c r="K25" t="inlineStr">
        <is>
          <t>2–3</t>
        </is>
      </c>
      <c r="L25" t="n">
        <v>3620</v>
      </c>
      <c r="M25" t="n">
        <v>2393</v>
      </c>
      <c r="N25">
        <f>IF($C25="","",IF($C25="拖挂","DT/DAT（未开放）",IF($L25&lt;=3500,"D/DA","E")))</f>
        <v/>
      </c>
      <c r="O25">
        <f>IF($E25="","",YEAR(TODAY())-$E25)</f>
        <v/>
      </c>
      <c r="P25">
        <f>IF($C25="拖挂",50,IF($M25="","",IF($M25&lt;=1000,20,IF($M25&lt;=1200,55,IF($M25&lt;=1400,70,IF($M25&lt;=1600,90,IF($M25&lt;=1800,200+0.4*($M25-1600),IF($M25&lt;=2000,280+0.5*($M25-1800),IF($M25&lt;=2500,440+0.8*($M25-2000),IF($M25&lt;=3000,840+1.6*($M25-2500),1640+1.6*($M25-3000)))))))))))</f>
        <v/>
      </c>
      <c r="Q25" t="n">
        <v>1500</v>
      </c>
      <c r="R25">
        <f>IF($P25="","",$P25+IF($Q25="",0,$Q25))</f>
        <v/>
      </c>
      <c r="S25">
        <f>IF($R25="","",$I25+5*$R25)</f>
        <v/>
      </c>
      <c r="T25" t="inlineStr">
        <is>
          <t>待核驾照</t>
        </is>
      </c>
      <c r="U25" t="inlineStr">
        <is>
          <t>询价；Shower+Cassette Toilet；1 Queen+1 Double；270W 太阳能+Honda EV22i 发电机；brush bar+探照灯；GVM 3620 &gt; 3500 → 可能需 E 照</t>
        </is>
      </c>
    </row>
    <row r="26">
      <c r="A26" s="7" t="n"/>
      <c r="B26" s="8" t="inlineStr">
        <is>
          <t>合计 / 平均</t>
        </is>
      </c>
      <c r="C26" s="7" t="n"/>
      <c r="D26" s="8" t="n"/>
      <c r="E26" s="7" t="n"/>
      <c r="F26" s="8" t="n"/>
      <c r="G26" s="9" t="n"/>
      <c r="H26" s="9" t="n"/>
      <c r="I26" s="9">
        <f>SUM(I2:I25)</f>
        <v/>
      </c>
      <c r="J26" s="7" t="n"/>
      <c r="K26" s="7" t="n"/>
      <c r="L26" s="7" t="n"/>
      <c r="M26" s="7" t="n"/>
      <c r="N26" s="7" t="n"/>
      <c r="O26" s="7" t="n"/>
      <c r="P26" s="9">
        <f>AVERAGE(P2:P25)</f>
        <v/>
      </c>
      <c r="Q26" s="9" t="n"/>
      <c r="R26" s="9">
        <f>AVERAGE(R2:R25)</f>
        <v/>
      </c>
      <c r="S26" s="9">
        <f>AVERAGE(S2:S25)</f>
        <v/>
      </c>
      <c r="T26" s="7" t="n"/>
      <c r="U26" s="8" t="n"/>
    </row>
  </sheetData>
  <autoFilter ref="A1:U21"/>
  <conditionalFormatting sqref="N2:N21">
    <cfRule type="cellIs" priority="1" operator="equal" dxfId="0">
      <formula>"E"</formula>
    </cfRule>
    <cfRule type="expression" priority="2" dxfId="1">
      <formula>ISNUMBER(SEARCH("DT/DAT",$N2))</formula>
    </cfRule>
  </conditionalFormatting>
  <conditionalFormatting sqref="J2:J21">
    <cfRule type="expression" priority="3" dxfId="1">
      <formula>OR($J2="大概率无",$J2="无")</formula>
    </cfRule>
  </conditionalFormatting>
  <conditionalFormatting sqref="T2:T21">
    <cfRule type="cellIs" priority="4" operator="equal" dxfId="2">
      <formula>"强烈推荐"</formula>
    </cfRule>
    <cfRule type="cellIs" priority="5" operator="equal" dxfId="1">
      <formula>"不推荐"</formula>
    </cfRule>
  </conditionalFormatting>
  <dataValidations count="1">
    <dataValidation sqref="T2:T21" showDropDown="0" showInputMessage="0" showErrorMessage="0" allowBlank="1" type="list">
      <formula1>"强烈推荐,推荐,可考虑,不推荐"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58" customWidth="1" min="4" max="4"/>
  </cols>
  <sheetData>
    <row r="1" ht="24" customHeight="1">
      <c r="A1" s="10" t="inlineStr">
        <is>
          <t>年度用车成本测算 — 自行式 Campervan vs 拖挂 Caravan</t>
        </is>
      </c>
    </row>
    <row r="4">
      <c r="A4" s="1" t="inlineStr">
        <is>
          <t>参数</t>
        </is>
      </c>
      <c r="B4" s="1" t="inlineStr">
        <is>
          <t>方案A 自行式 Campervan</t>
        </is>
      </c>
      <c r="C4" s="1" t="inlineStr">
        <is>
          <t>方案B 拖挂 Caravan</t>
        </is>
      </c>
      <c r="D4" s="1" t="inlineStr">
        <is>
          <t>口径说明</t>
        </is>
      </c>
    </row>
    <row r="5">
      <c r="A5" s="11" t="inlineStr">
        <is>
          <t>落地总价(RM)</t>
        </is>
      </c>
      <c r="B5" s="12" t="n">
        <v>90000</v>
      </c>
      <c r="C5" s="12" t="n">
        <v>91500</v>
      </c>
      <c r="D5" s="13" t="inlineStr">
        <is>
          <t>来自「选购对比」表中同类车型的落地总价，可自行替换</t>
        </is>
      </c>
    </row>
    <row r="6">
      <c r="A6" s="11" t="inlineStr">
        <is>
          <t>排量(cc)</t>
        </is>
      </c>
      <c r="B6" s="12" t="n">
        <v>3000</v>
      </c>
      <c r="C6" s="12" t="n"/>
      <c r="D6" s="13" t="inlineStr">
        <is>
          <t>拖挂房车无排量，路税为固定 RM 50/年</t>
        </is>
      </c>
    </row>
    <row r="7">
      <c r="A7" s="11" t="inlineStr">
        <is>
          <t>年路税(RM)</t>
        </is>
      </c>
      <c r="B7" s="12">
        <f>IF($B$6="",0,IF($B$6&lt;=1000,20,IF($B$6&lt;=1200,55,IF($B$6&lt;=1400,70,IF($B$6&lt;=1600,90,IF($B$6&lt;=1800,200+0.4*($B$6-1600),IF($B$6&lt;=2000,280+0.5*($B$6-1800),IF($B$6&lt;=2500,440+0.8*($B$6-2000),IF($B$6&lt;=3000,840+1.6*($B$6-2500),1640+1.6*($B$6-3000))))))))))</f>
        <v/>
      </c>
      <c r="C7" s="12" t="n">
        <v>50</v>
      </c>
      <c r="D7" s="13" t="inlineStr">
        <is>
          <t>自行式按 JPJ 私家车分档公式自动计算；拖挂固定 50</t>
        </is>
      </c>
    </row>
    <row r="8">
      <c r="A8" s="11" t="inlineStr">
        <is>
          <t>年保险(RM)</t>
        </is>
      </c>
      <c r="B8" s="12" t="n">
        <v>1300</v>
      </c>
      <c r="C8" s="12" t="n">
        <v>0</v>
      </c>
      <c r="D8" s="13" t="inlineStr">
        <is>
          <t>拖挂的保险通常挂在牵引车保单下，此处按 0 计</t>
        </is>
      </c>
    </row>
    <row r="9">
      <c r="A9" s="11" t="inlineStr">
        <is>
          <t>年行驶里程(km)</t>
        </is>
      </c>
      <c r="B9" s="12" t="n">
        <v>12000</v>
      </c>
      <c r="C9" s="12" t="n">
        <v>12000</v>
      </c>
      <c r="D9" s="13" t="inlineStr">
        <is>
          <t>马来西亚房车车主典型年里程 8,000–15,000 km</t>
        </is>
      </c>
    </row>
    <row r="10">
      <c r="A10" s="11" t="inlineStr">
        <is>
          <t>油耗(L/100km)</t>
        </is>
      </c>
      <c r="B10" s="12" t="n">
        <v>12</v>
      </c>
      <c r="C10" s="12" t="n">
        <v>14</v>
      </c>
      <c r="D10" s="13" t="inlineStr">
        <is>
          <t>自行式为货车底盘柴油 3.0L；拖挂为牵引皮卡带挂车油耗</t>
        </is>
      </c>
    </row>
    <row r="11">
      <c r="A11" s="11" t="inlineStr">
        <is>
          <t>柴油单价(RM/L)</t>
        </is>
      </c>
      <c r="B11" s="12" t="n">
        <v>3</v>
      </c>
      <c r="C11" s="12" t="n">
        <v>3</v>
      </c>
      <c r="D11" s="13" t="inlineStr">
        <is>
          <t>马来西亚柴油补贴价区间，请按最新油价更新</t>
        </is>
      </c>
    </row>
    <row r="12">
      <c r="A12" s="11" t="inlineStr">
        <is>
          <t>年营地夜数(晚)</t>
        </is>
      </c>
      <c r="B12" s="12" t="n">
        <v>40</v>
      </c>
      <c r="C12" s="12" t="n">
        <v>40</v>
      </c>
      <c r="D12" s="13" t="inlineStr">
        <is>
          <t>每月约 3–4 晚；营地费按具名营地均价估</t>
        </is>
      </c>
    </row>
    <row r="13">
      <c r="A13" s="11" t="inlineStr">
        <is>
          <t>营地均价(RM/晚)</t>
        </is>
      </c>
      <c r="B13" s="12" t="n">
        <v>60</v>
      </c>
      <c r="C13" s="12" t="n">
        <v>60</v>
      </c>
      <c r="D13" s="13" t="inlineStr">
        <is>
          <t>参考 Payung Getaway 插电 RM 50/天、Station2 RM 60–120</t>
        </is>
      </c>
    </row>
    <row r="14">
      <c r="A14" s="11" t="inlineStr">
        <is>
          <t>年保养维修(RM)</t>
        </is>
      </c>
      <c r="B14" s="12" t="n">
        <v>1500</v>
      </c>
      <c r="C14" s="12" t="n">
        <v>1200</v>
      </c>
      <c r="D14" s="13" t="inlineStr">
        <is>
          <t>自行式含发动机保养；拖挂仅轮轴与刹车保养</t>
        </is>
      </c>
    </row>
    <row r="15">
      <c r="A15" s="11" t="inlineStr">
        <is>
          <t>年停车存放(RM)</t>
        </is>
      </c>
      <c r="B15" s="12" t="n">
        <v>1200</v>
      </c>
      <c r="C15" s="12" t="n">
        <v>2400</v>
      </c>
      <c r="D15" s="13" t="inlineStr">
        <is>
          <t>拖挂需更长停放位，多数住宅区不允许，故更高</t>
        </is>
      </c>
    </row>
    <row r="16">
      <c r="A16" s="11" t="inlineStr">
        <is>
          <t>年折旧率(%)</t>
        </is>
      </c>
      <c r="B16" s="14" t="n">
        <v>0.08</v>
      </c>
      <c r="C16" s="14" t="n">
        <v>0.08</v>
      </c>
      <c r="D16" s="13" t="inlineStr">
        <is>
          <t>房车折旧率高于普通乘用车，8% 为保守估计</t>
        </is>
      </c>
    </row>
    <row r="19">
      <c r="A19" s="1" t="inlineStr">
        <is>
          <t>指标</t>
        </is>
      </c>
      <c r="B19" s="1" t="inlineStr">
        <is>
          <t>方案A 自行式 Campervan</t>
        </is>
      </c>
      <c r="C19" s="1" t="inlineStr">
        <is>
          <t>方案B 拖挂 Caravan</t>
        </is>
      </c>
      <c r="D19" s="1" t="inlineStr">
        <is>
          <t>公式说明</t>
        </is>
      </c>
    </row>
    <row r="20">
      <c r="A20" s="11" t="inlineStr">
        <is>
          <t>年燃油费(RM)</t>
        </is>
      </c>
      <c r="B20" s="15">
        <f>IF(B9="",0,B9/100*B10*B11)</f>
        <v/>
      </c>
      <c r="C20" s="15">
        <f>IF(C9="",0,C9/100*C10*C11)</f>
        <v/>
      </c>
      <c r="D20" s="13" t="inlineStr">
        <is>
          <t>行驶里程 ÷ 100 × 油耗 × 柴油单价</t>
        </is>
      </c>
    </row>
    <row r="21">
      <c r="A21" s="11" t="inlineStr">
        <is>
          <t>年营地费(RM)</t>
        </is>
      </c>
      <c r="B21" s="15">
        <f>IF(B12="",0,B12*B13)</f>
        <v/>
      </c>
      <c r="C21" s="15">
        <f>IF(C12="",0,C12*C13)</f>
        <v/>
      </c>
      <c r="D21" s="13" t="inlineStr">
        <is>
          <t>营地夜数 × 营地均价</t>
        </is>
      </c>
    </row>
    <row r="22">
      <c r="A22" s="11" t="inlineStr">
        <is>
          <t>年固定成本(RM)</t>
        </is>
      </c>
      <c r="B22" s="15">
        <f>IF(B7="",0,B7)+IF(B8="",0,B8)+IF(B14="",0,B14)+IF(B15="",0,B15)</f>
        <v/>
      </c>
      <c r="C22" s="15">
        <f>IF(C7="",0,C7)+IF(C8="",0,C8)+IF(C14="",0,C14)+IF(C15="",0,C15)</f>
        <v/>
      </c>
      <c r="D22" s="13" t="inlineStr">
        <is>
          <t>年路税 + 年保险 + 年保养维修 + 年停车存放</t>
        </is>
      </c>
    </row>
    <row r="23">
      <c r="A23" s="11" t="inlineStr">
        <is>
          <t>年总成本(RM)</t>
        </is>
      </c>
      <c r="B23" s="15">
        <f>B20+B21+B22</f>
        <v/>
      </c>
      <c r="C23" s="15">
        <f>C20+C21+C22</f>
        <v/>
      </c>
      <c r="D23" s="13" t="inlineStr">
        <is>
          <t>燃油 + 营地 + 固定成本（不含折旧）</t>
        </is>
      </c>
    </row>
    <row r="24">
      <c r="A24" s="11" t="inlineStr">
        <is>
          <t>每公里成本(RM/km)</t>
        </is>
      </c>
      <c r="B24" s="16">
        <f>IF(OR(B9="",B9=0),"",B23/B9)</f>
        <v/>
      </c>
      <c r="C24" s="16">
        <f>IF(OR(C9="",C9=0),"",C23/C9)</f>
        <v/>
      </c>
      <c r="D24" s="13" t="inlineStr">
        <is>
          <t>年总成本 ÷ 年行驶里程（已含分母空值与 0 保护）</t>
        </is>
      </c>
    </row>
    <row r="25">
      <c r="A25" s="11" t="inlineStr">
        <is>
          <t>年折旧金额(RM)</t>
        </is>
      </c>
      <c r="B25" s="15">
        <f>IF(B5="",0,B5*B16)</f>
        <v/>
      </c>
      <c r="C25" s="15">
        <f>IF(C5="",0,C5*C16)</f>
        <v/>
      </c>
      <c r="D25" s="13" t="inlineStr">
        <is>
          <t>落地总价 × 年折旧率</t>
        </is>
      </c>
    </row>
    <row r="26">
      <c r="A26" s="11" t="inlineStr">
        <is>
          <t>年真实持有成本(RM)</t>
        </is>
      </c>
      <c r="B26" s="15">
        <f>B23+B25</f>
        <v/>
      </c>
      <c r="C26" s="15">
        <f>C23+C25</f>
        <v/>
      </c>
      <c r="D26" s="13" t="inlineStr">
        <is>
          <t>年总成本 + 年折旧金额</t>
        </is>
      </c>
    </row>
    <row r="27">
      <c r="A27" s="11" t="inlineStr">
        <is>
          <t>5年总支出(RM)</t>
        </is>
      </c>
      <c r="B27" s="15">
        <f>IF(B5="","",B5+B26*5)</f>
        <v/>
      </c>
      <c r="C27" s="15">
        <f>IF(C5="","",C5+C26*5)</f>
        <v/>
      </c>
      <c r="D27" s="13" t="inlineStr">
        <is>
          <t>落地总价 + 5 × 年真实持有成本</t>
        </is>
      </c>
    </row>
    <row r="30">
      <c r="A30" s="17" t="inlineStr">
        <is>
          <t>结论：5 年总支出差额（方案B − 方案A）</t>
        </is>
      </c>
      <c r="B30" s="18">
        <f>IF(OR($B$27="",$C$27=""),"",$C$27-$B$27)</f>
        <v/>
      </c>
      <c r="C30" s="11" t="n"/>
      <c r="D30" s="19" t="inlineStr">
        <is>
          <t>正数 = 拖挂更贵；负数 = 拖挂更省</t>
        </is>
      </c>
    </row>
    <row r="31">
      <c r="A31" s="17" t="inlineStr">
        <is>
          <t>结论：每公里成本差额（方案B − 方案A）</t>
        </is>
      </c>
      <c r="B31" s="18">
        <f>IF(OR($B$24="",$C$24=""),"",$C$24-$B$24)</f>
        <v/>
      </c>
      <c r="C31" s="11" t="n"/>
      <c r="D31" s="19" t="inlineStr">
        <is>
          <t>正数 = 拖挂每公里更贵</t>
        </is>
      </c>
    </row>
  </sheetData>
  <mergeCells count="1">
    <mergeCell ref="A1:D1"/>
  </mergeCells>
  <conditionalFormatting sqref="B30:B31">
    <cfRule type="cellIs" priority="1" operator="lessThan" dxfId="3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2" customWidth="1" min="4" max="4"/>
    <col width="18" customWidth="1" min="5" max="5"/>
    <col width="17" customWidth="1" min="6" max="6"/>
    <col width="8" customWidth="1" min="7" max="7"/>
    <col width="11" customWidth="1" min="8" max="8"/>
    <col width="52" customWidth="1" min="9" max="9"/>
  </cols>
  <sheetData>
    <row r="1" ht="28" customHeight="1">
      <c r="A1" s="1" t="inlineStr">
        <is>
          <t>序号</t>
        </is>
      </c>
      <c r="B1" s="1" t="inlineStr">
        <is>
          <t>挂牌车型</t>
        </is>
      </c>
      <c r="C1" s="1" t="inlineStr">
        <is>
          <t>年份</t>
        </is>
      </c>
      <c r="D1" s="1" t="inlineStr">
        <is>
          <t>挂牌价(RM)</t>
        </is>
      </c>
      <c r="E1" s="1" t="inlineStr">
        <is>
          <t>地区</t>
        </is>
      </c>
      <c r="F1" s="1" t="inlineStr">
        <is>
          <t>里程(km)</t>
        </is>
      </c>
      <c r="G1" s="1" t="inlineStr">
        <is>
          <t>状态</t>
        </is>
      </c>
      <c r="H1" s="1" t="inlineStr">
        <is>
          <t>厕所</t>
        </is>
      </c>
      <c r="I1" s="1" t="inlineStr">
        <is>
          <t>挂牌编号</t>
        </is>
      </c>
    </row>
    <row r="2">
      <c r="A2" s="20" t="n">
        <v>1</v>
      </c>
      <c r="B2" s="21" t="inlineStr">
        <is>
          <t>Nissan Serena Pop-up Roof Campervan</t>
        </is>
      </c>
      <c r="C2" s="20" t="n">
        <v>2001</v>
      </c>
      <c r="D2" s="22" t="n">
        <v>48500</v>
      </c>
      <c r="E2" s="21" t="inlineStr">
        <is>
          <t>Kedah</t>
        </is>
      </c>
      <c r="F2" s="21" t="inlineStr">
        <is>
          <t>150,000–159,999</t>
        </is>
      </c>
      <c r="G2" s="20" t="inlineStr">
        <is>
          <t>Recon</t>
        </is>
      </c>
      <c r="H2" s="20" t="inlineStr">
        <is>
          <t>大概率无</t>
        </is>
      </c>
      <c r="I2" s="23" t="inlineStr">
        <is>
          <t>https://www.mudah.my/-115606192.htm</t>
        </is>
      </c>
    </row>
    <row r="3">
      <c r="A3" s="20" t="n">
        <v>2</v>
      </c>
      <c r="B3" s="21" t="inlineStr">
        <is>
          <t>Campervan（未注明车型）</t>
        </is>
      </c>
      <c r="C3" s="20" t="n"/>
      <c r="D3" s="22" t="n">
        <v>50000</v>
      </c>
      <c r="E3" s="21" t="inlineStr">
        <is>
          <t>Selangor</t>
        </is>
      </c>
      <c r="F3" s="21" t="inlineStr">
        <is>
          <t>未注明</t>
        </is>
      </c>
      <c r="G3" s="20" t="inlineStr">
        <is>
          <t>Used</t>
        </is>
      </c>
      <c r="H3" s="20" t="inlineStr">
        <is>
          <t>待确认</t>
        </is>
      </c>
      <c r="I3" s="23" t="inlineStr">
        <is>
          <t>https://www.mudah.my/-115753932.htm</t>
        </is>
      </c>
    </row>
    <row r="4">
      <c r="A4" s="20" t="n">
        <v>3</v>
      </c>
      <c r="B4" s="21" t="inlineStr">
        <is>
          <t>1999 Toyota Camroad Campervan 2.8 Auto</t>
        </is>
      </c>
      <c r="C4" s="20" t="n">
        <v>1999</v>
      </c>
      <c r="D4" s="22" t="n">
        <v>68888</v>
      </c>
      <c r="E4" s="21" t="inlineStr">
        <is>
          <t>Selangor</t>
        </is>
      </c>
      <c r="F4" s="21" t="inlineStr">
        <is>
          <t>95,000–99,999</t>
        </is>
      </c>
      <c r="G4" s="20" t="inlineStr">
        <is>
          <t>Used</t>
        </is>
      </c>
      <c r="H4" s="20" t="inlineStr">
        <is>
          <t>有</t>
        </is>
      </c>
      <c r="I4" s="23" t="inlineStr">
        <is>
          <t>https://www.mudah.my/-115502500.htm</t>
        </is>
      </c>
    </row>
    <row r="5">
      <c r="A5" s="20" t="n">
        <v>4</v>
      </c>
      <c r="B5" s="21" t="inlineStr">
        <is>
          <t>Toyota Campervan（Hiace 改装）</t>
        </is>
      </c>
      <c r="C5" s="20" t="n">
        <v>2006</v>
      </c>
      <c r="D5" s="22" t="n">
        <v>75000</v>
      </c>
      <c r="E5" s="21" t="inlineStr">
        <is>
          <t>Selangor</t>
        </is>
      </c>
      <c r="F5" s="21" t="inlineStr">
        <is>
          <t>170,000–179,999</t>
        </is>
      </c>
      <c r="G5" s="20" t="inlineStr">
        <is>
          <t>Used</t>
        </is>
      </c>
      <c r="H5" s="20" t="inlineStr">
        <is>
          <t>待确认</t>
        </is>
      </c>
      <c r="I5" s="23" t="inlineStr">
        <is>
          <t>https://www.mudah.my/-115167208.htm</t>
        </is>
      </c>
    </row>
    <row r="6">
      <c r="A6" s="20" t="n">
        <v>5</v>
      </c>
      <c r="B6" s="21" t="inlineStr">
        <is>
          <t>2015 Maxus V80 2.5(M) Campervan 全改</t>
        </is>
      </c>
      <c r="C6" s="20" t="n">
        <v>2015</v>
      </c>
      <c r="D6" s="22" t="n">
        <v>78800</v>
      </c>
      <c r="E6" s="21" t="inlineStr">
        <is>
          <t>Kuala Lumpur</t>
        </is>
      </c>
      <c r="F6" s="21" t="inlineStr">
        <is>
          <t>100,000–109,999</t>
        </is>
      </c>
      <c r="G6" s="20" t="inlineStr">
        <is>
          <t>Used</t>
        </is>
      </c>
      <c r="H6" s="20" t="inlineStr">
        <is>
          <t>待确认</t>
        </is>
      </c>
      <c r="I6" s="23" t="inlineStr">
        <is>
          <t>https://www.mudah.my/-114879670.htm</t>
        </is>
      </c>
    </row>
    <row r="7">
      <c r="A7" s="20" t="n">
        <v>6</v>
      </c>
      <c r="B7" s="21" t="inlineStr">
        <is>
          <t>Motorhome / Caravan / Campervan（未注明）</t>
        </is>
      </c>
      <c r="C7" s="20" t="n"/>
      <c r="D7" s="22" t="n">
        <v>80000</v>
      </c>
      <c r="E7" s="21" t="inlineStr">
        <is>
          <t>Negeri Sembilan</t>
        </is>
      </c>
      <c r="F7" s="21" t="inlineStr">
        <is>
          <t>未注明</t>
        </is>
      </c>
      <c r="G7" s="20" t="inlineStr">
        <is>
          <t>Used</t>
        </is>
      </c>
      <c r="H7" s="20" t="inlineStr">
        <is>
          <t>待确认</t>
        </is>
      </c>
      <c r="I7" s="23" t="inlineStr">
        <is>
          <t>https://www.mudah.my/-111032071.htm</t>
        </is>
      </c>
    </row>
    <row r="8">
      <c r="A8" s="20" t="n">
        <v>7</v>
      </c>
      <c r="B8" s="21" t="inlineStr">
        <is>
          <t>Campervan Status Persendirian</t>
        </is>
      </c>
      <c r="C8" s="20" t="n"/>
      <c r="D8" s="22" t="n">
        <v>90000</v>
      </c>
      <c r="E8" s="21" t="inlineStr">
        <is>
          <t>Kuala Lumpur</t>
        </is>
      </c>
      <c r="F8" s="21" t="inlineStr">
        <is>
          <t>未注明</t>
        </is>
      </c>
      <c r="G8" s="20" t="inlineStr">
        <is>
          <t>Used</t>
        </is>
      </c>
      <c r="H8" s="20" t="inlineStr">
        <is>
          <t>待确认</t>
        </is>
      </c>
      <c r="I8" s="23" t="inlineStr">
        <is>
          <t>https://www.mudah.my/-115772533.htm</t>
        </is>
      </c>
    </row>
    <row r="9">
      <c r="A9" s="20" t="n">
        <v>8</v>
      </c>
      <c r="B9" s="21" t="inlineStr">
        <is>
          <t>Toyota Camroad Motorhome / Campervan</t>
        </is>
      </c>
      <c r="C9" s="20" t="n"/>
      <c r="D9" s="22" t="n">
        <v>90000</v>
      </c>
      <c r="E9" s="21" t="inlineStr">
        <is>
          <t>Sarawak</t>
        </is>
      </c>
      <c r="F9" s="21" t="inlineStr">
        <is>
          <t>未注明</t>
        </is>
      </c>
      <c r="G9" s="20" t="inlineStr">
        <is>
          <t>Used</t>
        </is>
      </c>
      <c r="H9" s="20" t="inlineStr">
        <is>
          <t>有</t>
        </is>
      </c>
      <c r="I9" s="23" t="inlineStr">
        <is>
          <t>https://www.mudah.my/-115727297.htm</t>
        </is>
      </c>
    </row>
    <row r="10">
      <c r="A10" s="20" t="n">
        <v>9</v>
      </c>
      <c r="B10" s="21" t="inlineStr">
        <is>
          <t>Toyota Camroad King Bunks Bed Motorhome</t>
        </is>
      </c>
      <c r="C10" s="20" t="n"/>
      <c r="D10" s="22" t="n">
        <v>119000</v>
      </c>
      <c r="E10" s="21" t="inlineStr">
        <is>
          <t>未注明</t>
        </is>
      </c>
      <c r="F10" s="21" t="inlineStr">
        <is>
          <t>未注明</t>
        </is>
      </c>
      <c r="G10" s="20" t="inlineStr">
        <is>
          <t>Used</t>
        </is>
      </c>
      <c r="H10" s="20" t="inlineStr">
        <is>
          <t>有</t>
        </is>
      </c>
      <c r="I10" s="23" t="inlineStr">
        <is>
          <t>https://www.mudah.my/-114976944.htm</t>
        </is>
      </c>
    </row>
    <row r="11">
      <c r="A11" s="20" t="n">
        <v>10</v>
      </c>
      <c r="B11" s="21" t="inlineStr">
        <is>
          <t>Volkswagen Kombi Westfalia Campervan</t>
        </is>
      </c>
      <c r="C11" s="20" t="n">
        <v>1995</v>
      </c>
      <c r="D11" s="22" t="n">
        <v>125000</v>
      </c>
      <c r="E11" s="21" t="inlineStr">
        <is>
          <t>Kedah</t>
        </is>
      </c>
      <c r="F11" s="21" t="inlineStr">
        <is>
          <t>5,000–9,999</t>
        </is>
      </c>
      <c r="G11" s="20" t="inlineStr">
        <is>
          <t>Recon</t>
        </is>
      </c>
      <c r="H11" s="20" t="inlineStr">
        <is>
          <t>有</t>
        </is>
      </c>
      <c r="I11" s="23" t="inlineStr">
        <is>
          <t>https://www.mudah.my/-113295774.htm</t>
        </is>
      </c>
    </row>
    <row r="12">
      <c r="A12" s="20" t="n">
        <v>11</v>
      </c>
      <c r="B12" s="21" t="inlineStr">
        <is>
          <t>1996 Nissan Caravan 2.5 CBU</t>
        </is>
      </c>
      <c r="C12" s="20" t="n">
        <v>1996</v>
      </c>
      <c r="D12" s="22" t="n">
        <v>160000</v>
      </c>
      <c r="E12" s="21" t="inlineStr">
        <is>
          <t>Selangor</t>
        </is>
      </c>
      <c r="F12" s="21" t="inlineStr">
        <is>
          <t>350,000–399,999</t>
        </is>
      </c>
      <c r="G12" s="20" t="inlineStr">
        <is>
          <t>Used</t>
        </is>
      </c>
      <c r="H12" s="20" t="inlineStr">
        <is>
          <t>待确认</t>
        </is>
      </c>
      <c r="I12" s="23" t="inlineStr">
        <is>
          <t>https://www.mudah.my/-115284388.htm</t>
        </is>
      </c>
    </row>
    <row r="13">
      <c r="A13" s="20" t="n">
        <v>12</v>
      </c>
      <c r="B13" s="21" t="inlineStr">
        <is>
          <t>2020 Maxus V80 2.5 Turbo Diesel Campervan</t>
        </is>
      </c>
      <c r="C13" s="20" t="n">
        <v>2020</v>
      </c>
      <c r="D13" s="22" t="n">
        <v>168000</v>
      </c>
      <c r="E13" s="21" t="inlineStr">
        <is>
          <t>Selangor</t>
        </is>
      </c>
      <c r="F13" s="21" t="inlineStr">
        <is>
          <t>未注明</t>
        </is>
      </c>
      <c r="G13" s="20" t="inlineStr">
        <is>
          <t>Used</t>
        </is>
      </c>
      <c r="H13" s="20" t="inlineStr">
        <is>
          <t>待确认</t>
        </is>
      </c>
      <c r="I13" s="23" t="inlineStr">
        <is>
          <t>https://www.mudah.my/-115796517.htm</t>
        </is>
      </c>
    </row>
    <row r="14">
      <c r="A14" s="20" t="n">
        <v>13</v>
      </c>
      <c r="B14" s="21" t="inlineStr">
        <is>
          <t>New Build Campervan Motorhome Maxus V80</t>
        </is>
      </c>
      <c r="C14" s="20" t="n">
        <v>2017</v>
      </c>
      <c r="D14" s="22" t="n">
        <v>198000</v>
      </c>
      <c r="E14" s="21" t="inlineStr">
        <is>
          <t>Selangor</t>
        </is>
      </c>
      <c r="F14" s="21" t="inlineStr">
        <is>
          <t>85,000–89,999</t>
        </is>
      </c>
      <c r="G14" s="20" t="inlineStr">
        <is>
          <t>Used</t>
        </is>
      </c>
      <c r="H14" s="20" t="inlineStr">
        <is>
          <t>待确认</t>
        </is>
      </c>
      <c r="I14" s="23" t="inlineStr">
        <is>
          <t>https://www.mudah.my/-114374602.htm</t>
        </is>
      </c>
    </row>
  </sheetData>
  <autoFilter ref="A1:I14"/>
  <conditionalFormatting sqref="H2:H14">
    <cfRule type="expression" priority="1" dxfId="1">
      <formula>OR($H2="大概率无",$H2="无")</formula>
    </cfRule>
  </conditionalFormatting>
  <dataValidations count="1">
    <dataValidation sqref="H2:H14" showDropDown="0" showInputMessage="0" showErrorMessage="0" allowBlank="1" type="list">
      <formula1>"有,待确认,大概率无,无"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3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6" customWidth="1" min="3" max="3"/>
  </cols>
  <sheetData>
    <row r="1" ht="24" customHeight="1">
      <c r="B1" s="24" t="inlineStr">
        <is>
          <t>马来西亚房车选购对比表 — 口径与数据来源</t>
        </is>
      </c>
    </row>
    <row r="2" ht="19" customHeight="1">
      <c r="B2" s="25" t="inlineStr">
        <is>
          <t>数据截止</t>
        </is>
      </c>
      <c r="C2" s="26" t="inlineStr">
        <is>
          <t>2026-09-24（2026-10-13 增量更新：新增 SunshineRV 四车型 + AsiaRV 降价复核）</t>
        </is>
      </c>
    </row>
    <row r="3" ht="19" customHeight="1">
      <c r="B3" s="25" t="inlineStr">
        <is>
          <t>硬性筛选条件</t>
        </is>
      </c>
      <c r="C3" s="26" t="inlineStr">
        <is>
          <t>车内必须有厕所 + 可供 2 人睡觉的空间。不满足的车型保留在表中但标注为「不推荐」，仅作价格参照。</t>
        </is>
      </c>
    </row>
    <row r="4" ht="19" customHeight="1">
      <c r="B4" s="25" t="inlineStr">
        <is>
          <t>报价口径</t>
        </is>
      </c>
      <c r="C4" s="26" t="inlineStr">
        <is>
          <t>「报价」为商家公开挂牌价或报价；「额外费用」为运输、上牌、注册、改装等预估追加成本；落地总价 = 报价 + 额外费用。均为 RM。</t>
        </is>
      </c>
    </row>
    <row r="5" ht="49" customHeight="1">
      <c r="B5" s="25" t="inlineStr">
        <is>
          <t>年路税计算口径</t>
        </is>
      </c>
      <c r="C5" s="26" t="inlineStr">
        <is>
          <t>私人 RV 按私家车（Motokar）以排量计税，分档估算：≤1,000cc=20；1,001–1,200=55；1,201–1,400=70；1,401–1,600=90；1,601–1,800=200+0.40/cc；1,801–2,000=280+0.50/cc；2,001–2,500=440+0.80/cc；2,501–3,000=840+1.60/cc；&gt;3,000=1,640+1.60/cc（均以超出该档下限的 cc 数计）。</t>
        </is>
      </c>
    </row>
    <row r="6" ht="19" customHeight="1">
      <c r="B6" s="25" t="inlineStr">
        <is>
          <t>拖挂房车路税</t>
        </is>
      </c>
      <c r="C6" s="26" t="inlineStr">
        <is>
          <t>JPJ 车辆发牌费率表中私人拖车（代码 AF）为固定 RM 50/年，与尺寸无关。表中拖挂车型一律按 50 计算。</t>
        </is>
      </c>
    </row>
    <row r="7" ht="34" customHeight="1">
      <c r="B7" s="25" t="inlineStr">
        <is>
          <t>路税口径验证</t>
        </is>
      </c>
      <c r="C7" s="26" t="inlineStr">
        <is>
          <t>按上述公式：2.8L≈1,320、3.0L≈1,640、3.4L≈2,280。车主实测口径为 2.8L≈1,300、3.0L≈1,800、3.4L≈2,200，同一量级。非轿车（SUV/MPV/van）部分费率表会上浮约 20%，最终以 MyJPJ 实算为准。</t>
        </is>
      </c>
    </row>
    <row r="8" ht="19" customHeight="1">
      <c r="B8" s="25" t="inlineStr">
        <is>
          <t>保险口径</t>
        </is>
      </c>
      <c r="C8" s="26" t="inlineStr">
        <is>
          <t>自行式按车主实测口径 RM 600–2,000/年取值；拖挂房车的保险通常挂在牵引车保单下，本表按 0 计。高价值进口车（如 Boxdrive 600 XL）保费显著更高。</t>
        </is>
      </c>
    </row>
    <row r="9" ht="34" customHeight="1">
      <c r="B9" s="25" t="inlineStr">
        <is>
          <t>驾照判定规则</t>
        </is>
      </c>
      <c r="C9" s="26" t="inlineStr">
        <is>
          <t>依据 JPJ 2026 版《房车注册与发牌指南》LAMPIRAN D：整备质量 BTM ≤3,500kg → D/DA 级；&gt;3,500kg → E 级。拖挂房车：牵引车 ≤3,500kg 且拖挂 &gt;750kg → 需全新的 DT/DAT 等级，该等级 JPJ 文本写明「将开发」，2026 年尚未开放考取。</t>
        </is>
      </c>
    </row>
    <row r="10" ht="19" customHeight="1">
      <c r="B10" s="25" t="inlineStr">
        <is>
          <t>检验口径</t>
        </is>
      </c>
      <c r="C10" s="26" t="inlineStr">
        <is>
          <t>私人注册 RV 无强制年检（按普通私家车规则）；商用 RV 须做 PPKM 初次检验并每 6 个月定期检验。表中未计入检验费用。</t>
        </is>
      </c>
    </row>
    <row r="11" ht="19" customHeight="1">
      <c r="B11" s="25" t="inlineStr">
        <is>
          <t>5 年总成本口径</t>
        </is>
      </c>
      <c r="C11" s="26" t="inlineStr">
        <is>
          <t>计算方式：落地总价 + 5 × 年持有成本（年路税 + 年保险）。不含燃油、营地费、维修保养、折旧与停放成本。</t>
        </is>
      </c>
    </row>
    <row r="12" ht="34" customHeight="1">
      <c r="B12" s="25" t="inlineStr">
        <is>
          <t>进口税制关键差异</t>
        </is>
      </c>
      <c r="C12" s="26" t="inlineStr">
        <is>
          <t>货车（HS 8704）与客车（HS 8702）底盘完全豁免消费税，有效总税负约 40%；van/MPV 底盘（HS 8703）按排量交 60–105% 消费税，有效总税负 150%+。这是 Camper Lorry / Camper Bus 在马来西亚占主流的原因。</t>
        </is>
      </c>
    </row>
    <row r="13" ht="34" customHeight="1">
      <c r="B13" s="25" t="inlineStr">
        <is>
          <t>拖挂房车税制（已核实）</t>
        </is>
      </c>
      <c r="C13" s="26" t="inlineStr">
        <is>
          <t>HS 8716.10.0000 最惠国进口关税 25% + 销售税 10%，有效税负约 37.5%（对 FOB 价）；不属机动车辆，免征消费税。对比 van 底盘 campervan 的 172%，差约 4.6 倍。ACFTA / RCEP / CPTPP 项下可降至 0%，需提供有效原产地证书。</t>
        </is>
      </c>
    </row>
    <row r="14" ht="34" customHeight="1">
      <c r="B14" s="25" t="inlineStr">
        <is>
          <t>落地成本反推验证</t>
        </is>
      </c>
      <c r="C14" s="26" t="inlineStr">
        <is>
          <t>Hobby Beachy 420（欧洲价约 €20,000 ≈ RM 93,600）→ 关税 25% + SST 10% 后 RM 128,700，加海运、VTA、工程师图纸、清关后约 RM 152,000–162,000，与 AsiaRV 标注的「原价」RM 158,888.88 高度吻合。说明清库价 RM 86,500 是真实的亏本清货。</t>
        </is>
      </c>
    </row>
    <row r="15" ht="34" customHeight="1">
      <c r="B15" s="25" t="inlineStr">
        <is>
          <t>AP 资格（已核实）</t>
        </is>
      </c>
      <c r="C15" s="26" t="inlineStr">
        <is>
          <t>RV 属 SPV，进口走 Other Vehicle AP，该类 AP 只发给公司且需预先批准。Individual AP 仅限海外工作/留学公民、REP、议员、使馆人员、外籍人士、MM2H 参与者 —— 普通居民不符合资格。</t>
        </is>
      </c>
    </row>
    <row r="16" ht="34" customHeight="1">
      <c r="B16" s="25" t="inlineStr">
        <is>
          <t>驾照 DT/DAT（已核实）</t>
        </is>
      </c>
      <c r="C16" s="26" t="inlineStr">
        <is>
          <t>JPJ 公布的完整驾照等级为 A、A1、B、B1、B2、C、D、DA、E、E1、E2、F、G、H、I —— 其中没有 DT 或 DAT。与指南「akan dibangunkan（将开发）」措辞一致，即目前无法申请。</t>
        </is>
      </c>
    </row>
    <row r="17" ht="34" customHeight="1">
      <c r="B17" s="25" t="inlineStr">
        <is>
          <t>用车成本测算口径</t>
        </is>
      </c>
      <c r="C17" s="26" t="inlineStr">
        <is>
          <t>年总成本 = 燃油 + 营地 + （路税 + 保险 + 保养 + 停车），不含折旧；年真实持有成本 = 年总成本 + 年折旧金额；5 年总支出 = 落地总价 + 5 × 年真实持有成本。全部为可调假设，改「用车成本测算」表的浅蓝格即可联动。</t>
        </is>
      </c>
    </row>
    <row r="18" ht="19" customHeight="1">
      <c r="B18" s="25" t="inlineStr">
        <is>
          <t>二手实盘口径</t>
        </is>
      </c>
      <c r="C18" s="26" t="inlineStr">
        <is>
          <t>取自 Mudah.my 公开挂牌（2026-09-24 抓取），为卖家挂牌要价而非成交价；「厕所」列中「待确认」表示挂牌信息未注明，必须现场核实。</t>
        </is>
      </c>
    </row>
    <row r="19" ht="34" customHeight="1">
      <c r="B19" s="25" t="inlineStr">
        <is>
          <t>未核实事项</t>
        </is>
      </c>
      <c r="C19" s="26" t="inlineStr">
        <is>
          <t>① Südwind 500 EU / 540 FDK / 450 FU 60 周年版沿用同一 KNAUS 卫浴模块，但未取得单独实拍确认；② 各二手车挂牌的实际厕所类型（盒式 vs 便携桶）；③ DT/DAT 的预计开放时间表。以上均需向卖家或 JPJ 书面确认。</t>
        </is>
      </c>
    </row>
    <row r="20" ht="49" customHeight="1">
      <c r="B20" s="25" t="inlineStr">
        <is>
          <t>主要来源</t>
        </is>
      </c>
      <c r="C20" s="26" t="inlineStr">
        <is>
          <t>JPJ《GARIS PANDUAN PENDAFTARAN DAN PELESENAN KENDERAAN REKREASI (RV)》(2026)：https://www.jpj.gov.my/wp-content/uploads/2026/04/GARIS-PANDUAN-PENDAFTARAN-DAN-PELESENAN-KENDERAAN-REKREASI-RV.pdf</t>
        </is>
      </c>
    </row>
    <row r="21" ht="19" customHeight="1">
      <c r="B21" s="27" t="inlineStr"/>
      <c r="C21" s="28" t="inlineStr">
        <is>
          <t>AsiaRV 清库车型与价格：https://asiarv.my/demo-caravans/ · https://mobilehome.my/</t>
        </is>
      </c>
    </row>
    <row r="22" ht="19" customHeight="1">
      <c r="B22" s="27" t="inlineStr"/>
      <c r="C22" s="28" t="inlineStr">
        <is>
          <t>Karysma Motorhome 价格指南：https://motorhomes.my/harga-motorhome-dan-campervan/</t>
        </is>
      </c>
    </row>
    <row r="23" ht="19" customHeight="1">
      <c r="B23" s="27" t="inlineStr"/>
      <c r="C23" s="28" t="inlineStr">
        <is>
          <t>Karysma 日本进口教程：https://motorhomes.my/cara-import-motorhome-dan-campervan-japan/</t>
        </is>
      </c>
    </row>
    <row r="24" ht="19" customHeight="1">
      <c r="B24" s="27" t="inlineStr"/>
      <c r="C24" s="28" t="inlineStr">
        <is>
          <t>马来西亚 8716.10.0000 关税税率（MFN 25% + SST 10%）：https://treayo.cn/en/hs/malaysia/h/8716</t>
        </is>
      </c>
    </row>
    <row r="25" ht="19" customHeight="1">
      <c r="B25" s="27" t="inlineStr"/>
      <c r="C25" s="28" t="inlineStr">
        <is>
          <t>MITI 车辆 AP 分类与资格：https://www.miti.gov.my/ap</t>
        </is>
      </c>
    </row>
    <row r="26" ht="19" customHeight="1">
      <c r="B26" s="27" t="inlineStr"/>
      <c r="C26" s="28" t="inlineStr">
        <is>
          <t>马来西亚整车进口税制结构：https://grokipedia.com/page/Malaysian_motor_vehicle_import_duties</t>
        </is>
      </c>
    </row>
    <row r="27" ht="34" customHeight="1">
      <c r="B27" s="27" t="inlineStr"/>
      <c r="C27" s="28" t="inlineStr">
        <is>
          <t>交通部：全国 1,450+ 台 RV 已注册（2026-07）：https://nazznco.my/2026/07/15/kenderaan-rv-sah-di-sisi-undang-undang/</t>
        </is>
      </c>
    </row>
    <row r="28" ht="19" customHeight="1">
      <c r="B28" s="27" t="inlineStr"/>
      <c r="C28" s="28" t="inlineStr">
        <is>
          <t>二手挂牌价格：https://www.mudah.my/malaysia/all?q=campervan</t>
        </is>
      </c>
    </row>
    <row r="29" ht="19" customHeight="1">
      <c r="B29" s="27" t="inlineStr"/>
      <c r="C29" s="28" t="inlineStr">
        <is>
          <t>完整调研报告：马来西亚房车购买与使用调研报告.html（同目录）</t>
        </is>
      </c>
    </row>
    <row r="30">
      <c r="B30" t="inlineStr">
        <is>
          <t>本轮增量（2026-10-13）</t>
        </is>
      </c>
      <c r="C30" t="inlineStr">
        <is>
          <t>新增 SunshineRV（槟城，JPJ 制造牌照 A025085）Rafflesia N/C/F/X 四系列：官网规格页逐款核实全部自带 Shower + Cassette Toilet、Sleeps 1 Queen + 1 Double；N/C 系列 GVM 3,800/3,620kg 超过 3,500kg 线，按 LAMPIRAN D 可能需 E 级驾照。</t>
        </is>
      </c>
    </row>
    <row r="31">
      <c r="B31" t="inlineStr">
        <is>
          <t>AsiaRV 价格复核（2026-10-13）</t>
        </is>
      </c>
      <c r="C31" t="inlineStr">
        <is>
          <t>Knaus Boxdrive 600 XL 由 RM 699,000 降至 RM 620,000；Beachy 420 / Ontour 390 SF / Sport 500 QDK 仍在库（标注 last unit）；Südwind 500 EU (LIMITED)、540 FEU 已售罄。</t>
        </is>
      </c>
    </row>
    <row r="32">
      <c r="B32" t="inlineStr">
        <is>
          <t>SunshineRV 规格来源</t>
        </is>
      </c>
      <c r="C32" t="inlineStr">
        <is>
          <t>https://sunshinerv.net/rafflesia-n-series · /rafflesia-c-series · /rafflesia-f-series · /rafflesia-x-series（2026-10-13 抓取）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马来西亚房车选购对比表</dc:title>
  <dcterms:created xmlns:dcterms="http://purl.org/dc/terms/" xmlns:xsi="http://www.w3.org/2001/XMLSchema-instance" xsi:type="dcterms:W3CDTF">2026-09-24T04:10:33Z</dcterms:created>
  <dcterms:modified xmlns:dcterms="http://purl.org/dc/terms/" xmlns:xsi="http://www.w3.org/2001/XMLSchema-instance" xsi:type="dcterms:W3CDTF">2026-10-13T09:57:19Z</dcterms:modified>
</cp:coreProperties>
</file>